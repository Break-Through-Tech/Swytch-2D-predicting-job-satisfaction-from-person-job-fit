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48fb6a04fd4344" /></Relationships>
</file>

<file path=xl/workbook.xml><?xml version="1.0" encoding="utf-8"?>
<x:workbook xmlns:x="http://schemas.openxmlformats.org/spreadsheetml/2006/main">
  <x:sheets>
    <x:sheet xmlns:r="http://schemas.openxmlformats.org/officeDocument/2006/relationships" name="NSCG review" sheetId="1" r:id="R197b488313ce4855"/>
    <x:sheet xmlns:r="http://schemas.openxmlformats.org/officeDocument/2006/relationships" name="ONET candidates" sheetId="2" r:id="Rb4ac7f12014f458a"/>
    <x:sheet xmlns:r="http://schemas.openxmlformats.org/officeDocument/2006/relationships" name="Group profiles" sheetId="3" r:id="R5746a821afc54c50"/>
    <x:sheet xmlns:r="http://schemas.openxmlformats.org/officeDocument/2006/relationships" name="Scope review" sheetId="4" r:id="Rcfccba9b4f104b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
    <x:numFmt numFmtId="202" formatCode="0.00"/>
    <x:numFmt numFmtId="203" formatCode="0.0%"/>
  </x:numFmts>
  <x:fonts count="6">
    <x:font>
      <x:sz val="11"/>
      <x:name val="Carlito"/>
    </x:font>
    <x:font>
      <x:sz val="11"/>
      <x:color rgb="FF25313C"/>
      <x:name val="Arial"/>
    </x:font>
    <x:font>
      <x:b/>
      <x:sz val="16"/>
      <x:color rgb="FF263A55"/>
      <x:name val="Arial"/>
    </x:font>
    <x:font>
      <x:b/>
      <x:sz val="14"/>
      <x:color rgb="FF263A55"/>
      <x:name val="Arial"/>
    </x:font>
    <x:font>
      <x:sz val="11"/>
      <x:color rgb="FF5C6672"/>
      <x:name val="Arial"/>
    </x:font>
    <x:font>
      <x:b/>
      <x:sz val="11"/>
      <x:color rgb="FFFFFFFF"/>
      <x:name val="Arial"/>
    </x:font>
  </x:fonts>
  <x:fills count="16">
    <x:fill>
      <x:patternFill patternType="none"/>
    </x:fill>
    <x:fill>
      <x:patternFill patternType="gray125"/>
    </x:fill>
    <x:fill>
      <x:patternFill patternType="solid">
        <x:fgColor rgb="FF263A55"/>
      </x:patternFill>
    </x:fill>
    <x:fill>
      <x:patternFill patternType="solid">
        <x:fgColor rgb="FFFFF4CF"/>
      </x:patternFill>
    </x:fill>
    <x:fill>
      <x:patternFill patternType="solid">
        <x:fgColor rgb="FF263A55"/>
      </x:patternFill>
    </x:fill>
    <x:fill>
      <x:patternFill patternType="solid">
        <x:fgColor rgb="FFFFF1D9"/>
      </x:patternFill>
    </x:fill>
    <x:fill>
      <x:patternFill patternType="solid">
        <x:fgColor rgb="FF263A55"/>
      </x:patternFill>
    </x:fill>
    <x:fill>
      <x:patternFill patternType="solid">
        <x:fgColor rgb="FFFFF4CF"/>
      </x:patternFill>
    </x:fill>
    <x:fill>
      <x:patternFill patternType="solid">
        <x:fgColor rgb="FFFFFFFF"/>
      </x:patternFill>
    </x:fill>
    <x:fill>
      <x:patternFill patternType="solid">
        <x:fgColor rgb="FFFFF1D9"/>
      </x:patternFill>
    </x:fill>
    <x:fill>
      <x:patternFill patternType="solid">
        <x:fgColor rgb="FFE9EFF7"/>
      </x:patternFill>
    </x:fill>
    <x:fill>
      <x:patternFill patternType="solid">
        <x:fgColor rgb="FF263A55"/>
      </x:patternFill>
    </x:fill>
    <x:fill>
      <x:patternFill patternType="solid">
        <x:fgColor rgb="FFFFF4CF"/>
      </x:patternFill>
    </x:fill>
    <x:fill>
      <x:patternFill patternType="solid">
        <x:fgColor rgb="FFFFFFFF"/>
      </x:patternFill>
    </x:fill>
    <x:fill>
      <x:patternFill patternType="solid">
        <x:fgColor rgb="FFFFF1D9"/>
      </x:patternFill>
    </x:fill>
    <x:fill>
      <x:patternFill patternType="solid">
        <x:fgColor rgb="FFE9EFF7"/>
      </x:patternFill>
    </x:fill>
  </x:fills>
  <x:borders count="2">
    <x:border>
      <x:left/>
      <x:right/>
      <x:top/>
      <x:bottom/>
      <x:diagonal/>
    </x:border>
    <x:border>
      <x:left/>
      <x:right/>
      <x:top/>
      <x:bottom style="thin">
        <x:color rgb="FFD7DFE6"/>
      </x:bottom>
      <x:diagonal/>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202" fontId="1"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203" fontId="1"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3" fontId="1" fillId="5" borderId="0" xfId="0" applyNumberFormat="1" applyFont="1" applyFill="1" applyBorder="1" applyAlignment="1">
      <x:alignment vertical="center"/>
    </x:xf>
    <x:xf numFmtId="0" fontId="5" fillId="6"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200" fontId="1" fillId="0" borderId="0" xfId="0" applyNumberFormat="1" applyFont="1" applyFill="1" applyBorder="1"/>
    <x:xf numFmtId="0" fontId="1" fillId="7"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x:xf numFmtId="0" fontId="1" fillId="5" borderId="0" xfId="0" applyNumberFormat="1" applyFont="1" applyFill="1" applyBorder="1" applyAlignment="1">
      <x:alignment vertical="center" wrapText="1"/>
    </x:xf>
    <x:xf numFmtId="203" fontId="1" fillId="0" borderId="0" xfId="0" applyNumberFormat="1" applyFont="1" applyFill="1" applyBorder="1"/>
    <x:xf numFmtId="0" fontId="1" fillId="8" borderId="0" xfId="0" applyNumberFormat="1" applyFont="1" applyFill="1" applyBorder="1" applyAlignment="1">
      <x:alignment vertical="center" wrapText="1"/>
    </x:xf>
    <x:xf numFmtId="0" fontId="1" fillId="8" borderId="0" xfId="0" applyNumberFormat="1" applyFont="1" applyFill="1" applyBorder="1" applyAlignment="1">
      <x:alignment vertical="center"/>
    </x:xf>
    <x:xf numFmtId="203" fontId="1" fillId="8" borderId="0" xfId="0" applyNumberFormat="1" applyFont="1" applyFill="1" applyBorder="1" applyAlignment="1">
      <x:alignment vertical="center"/>
    </x:xf>
    <x:xf numFmtId="0" fontId="1" fillId="8" borderId="0" xfId="0" applyNumberFormat="1" applyFont="1" applyFill="1" applyBorder="1" applyAlignment="1">
      <x:alignment wrapText="1"/>
    </x:xf>
    <x:xf numFmtId="0" fontId="1" fillId="8" borderId="0" xfId="0" applyNumberFormat="1" applyFont="1" applyFill="1" applyBorder="1"/>
    <x:xf numFmtId="203" fontId="1" fillId="8" borderId="0" xfId="0" applyNumberFormat="1" applyFont="1" applyFill="1" applyBorder="1"/>
    <x:xf numFmtId="0" fontId="1" fillId="9" borderId="0" xfId="0" applyNumberFormat="1" applyFont="1" applyFill="1" applyBorder="1" applyAlignment="1">
      <x:alignment vertical="center"/>
    </x:xf>
    <x:xf numFmtId="203" fontId="1" fillId="9" borderId="0" xfId="0" applyNumberFormat="1" applyFont="1" applyFill="1" applyBorder="1" applyAlignment="1">
      <x:alignment vertical="center"/>
    </x:xf>
    <x:xf numFmtId="0" fontId="1" fillId="10" borderId="0" xfId="0" applyNumberFormat="1" applyFont="1" applyFill="1" applyBorder="1" applyAlignment="1">
      <x:alignment wrapText="1"/>
    </x:xf>
    <x:xf numFmtId="0" fontId="1" fillId="9" borderId="0" xfId="0" applyNumberFormat="1" applyFont="1" applyFill="1" applyBorder="1"/>
    <x:xf numFmtId="203" fontId="1" fillId="9" borderId="0" xfId="0" applyNumberFormat="1" applyFont="1" applyFill="1" applyBorder="1"/>
    <x:xf numFmtId="0" fontId="5" fillId="11" borderId="0" xfId="0" applyNumberFormat="1" applyFont="1" applyFill="1" applyBorder="1" applyAlignment="1">
      <x:alignment horizontal="center" vertical="center" wrapText="1"/>
    </x:xf>
    <x:xf numFmtId="0" fontId="1" fillId="12" borderId="0" xfId="0" applyNumberFormat="1" applyFont="1" applyFill="1" applyBorder="1" applyAlignment="1">
      <x:alignment vertical="center" wrapText="1"/>
    </x:xf>
    <x:xf numFmtId="0" fontId="1" fillId="5" borderId="0" xfId="0" applyNumberFormat="1" applyFont="1" applyFill="1" applyBorder="1"/>
    <x:xf numFmtId="203" fontId="1" fillId="5" borderId="0" xfId="0" applyNumberFormat="1" applyFont="1" applyFill="1" applyBorder="1"/>
    <x:xf numFmtId="0" fontId="1" fillId="13" borderId="0" xfId="0" applyNumberFormat="1" applyFont="1" applyFill="1" applyBorder="1" applyAlignment="1">
      <x:alignment vertical="center" wrapText="1"/>
    </x:xf>
    <x:xf numFmtId="0" fontId="1" fillId="13" borderId="0" xfId="0" applyNumberFormat="1" applyFont="1" applyFill="1" applyBorder="1" applyAlignment="1">
      <x:alignment vertical="center"/>
    </x:xf>
    <x:xf numFmtId="203" fontId="1" fillId="13" borderId="0" xfId="0" applyNumberFormat="1" applyFont="1" applyFill="1" applyBorder="1" applyAlignment="1">
      <x:alignment vertical="center"/>
    </x:xf>
    <x:xf numFmtId="0" fontId="1" fillId="13" borderId="0" xfId="0" applyNumberFormat="1" applyFont="1" applyFill="1" applyBorder="1" applyAlignment="1">
      <x:alignment wrapText="1"/>
    </x:xf>
    <x:xf numFmtId="0" fontId="1" fillId="13" borderId="0" xfId="0" applyNumberFormat="1" applyFont="1" applyFill="1" applyBorder="1"/>
    <x:xf numFmtId="203" fontId="1" fillId="13" borderId="0" xfId="0" applyNumberFormat="1" applyFont="1" applyFill="1" applyBorder="1"/>
    <x:xf numFmtId="0" fontId="1" fillId="14" borderId="0" xfId="0" applyNumberFormat="1" applyFont="1" applyFill="1" applyBorder="1" applyAlignment="1">
      <x:alignment vertical="center"/>
    </x:xf>
    <x:xf numFmtId="203" fontId="1" fillId="14" borderId="0" xfId="0" applyNumberFormat="1" applyFont="1" applyFill="1" applyBorder="1" applyAlignment="1">
      <x:alignment vertical="center"/>
    </x:xf>
    <x:xf numFmtId="0" fontId="1" fillId="15" borderId="0" xfId="0" applyNumberFormat="1" applyFont="1" applyFill="1" applyBorder="1" applyAlignment="1">
      <x:alignment wrapText="1"/>
    </x:xf>
    <x:xf numFmtId="0" fontId="1" fillId="14" borderId="0" xfId="0" applyNumberFormat="1" applyFont="1" applyFill="1" applyBorder="1"/>
    <x:xf numFmtId="203" fontId="1" fillId="14" borderId="0" xfId="0" applyNumberFormat="1" applyFont="1" applyFill="1" applyBorder="1"/>
    <x:xf numFmtId="0" fontId="2" fillId="0"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cellXfs>
  <x:cellStyles count="1">
    <x:cellStyle name="Normal" xfId="0"/>
  </x:cellStyles>
  <x:dxfs count="25">
    <x:dxf>
      <x:font>
        <x:b/>
        <x:color rgb="FF285039"/>
      </x:font>
      <x:fill>
        <x:patternFill>
          <x:bgColor rgb="FFE5EFE7"/>
        </x:patternFill>
      </x:fill>
    </x:dxf>
    <x:dxf>
      <x:font>
        <x:b/>
        <x:color rgb="FF3D512F"/>
      </x:font>
      <x:fill>
        <x:patternFill>
          <x:bgColor rgb="FFEDF1E4"/>
        </x:patternFill>
      </x:fill>
    </x:dxf>
    <x:dxf>
      <x:font>
        <x:b/>
        <x:color rgb="FF525D67"/>
      </x:font>
      <x:fill>
        <x:patternFill>
          <x:bgColor rgb="FFF0F2F4"/>
        </x:patternFill>
      </x:fill>
    </x:dxf>
    <x:dxf>
      <x:font>
        <x:b/>
        <x:color rgb="FF78531C"/>
      </x:font>
      <x:fill>
        <x:patternFill>
          <x:bgColor rgb="FFFFF1D9"/>
        </x:patternFill>
      </x:fill>
    </x:dxf>
    <x:dxf>
      <x:font>
        <x:color rgb="FF78531C"/>
      </x:font>
      <x:fill>
        <x:patternFill>
          <x:bgColor rgb="FFFFF1D9"/>
        </x:patternFill>
      </x:fill>
    </x:dxf>
    <x:dxf>
      <x:font>
        <x:b/>
        <x:color rgb="FF285039"/>
      </x:font>
      <x:fill>
        <x:patternFill>
          <x:bgColor rgb="FFE5EFE7"/>
        </x:patternFill>
      </x:fill>
    </x:dxf>
    <x:dxf>
      <x:font>
        <x:b/>
        <x:color rgb="FF78531C"/>
      </x:font>
      <x:fill>
        <x:patternFill>
          <x:bgColor rgb="FFFFF1D9"/>
        </x:patternFill>
      </x:fill>
    </x:dxf>
    <x:dxf>
      <x:font>
        <x:b/>
        <x:color rgb="FF525D67"/>
      </x:font>
      <x:fill>
        <x:patternFill>
          <x:bgColor rgb="FFF0F2F4"/>
        </x:patternFill>
      </x:fill>
    </x:dxf>
    <x:dxf>
      <x:fill>
        <x:patternFill>
          <x:bgColor rgb="FFE5EFE7"/>
        </x:patternFill>
      </x:fill>
    </x:dxf>
    <x:dxf>
      <x:fill>
        <x:patternFill>
          <x:bgColor rgb="FFFFF1D9"/>
        </x:patternFill>
      </x:fill>
    </x:dxf>
    <x:dxf>
      <x:fill>
        <x:patternFill>
          <x:bgColor rgb="FFFFF1D9"/>
        </x:patternFill>
      </x:fill>
    </x:dxf>
    <x:dxf>
      <x:fill>
        <x:patternFill>
          <x:bgColor rgb="FFF0F2F4"/>
        </x:patternFill>
      </x:fill>
    </x:dxf>
    <x:dxf>
      <x:fill>
        <x:patternFill>
          <x:bgColor rgb="FFFFF1D9"/>
        </x:patternFill>
      </x:fill>
    </x:dxf>
    <x:dxf>
      <x:fill>
        <x:patternFill>
          <x:bgColor rgb="FFE5EFE7"/>
        </x:patternFill>
      </x:fill>
    </x:dxf>
    <x:dxf>
      <x:fill>
        <x:patternFill>
          <x:bgColor rgb="FFFFF1D9"/>
        </x:patternFill>
      </x:fill>
    </x:dxf>
    <x:dxf>
      <x:fill>
        <x:patternFill>
          <x:bgColor rgb="FFFFF1D9"/>
        </x:patternFill>
      </x:fill>
    </x:dxf>
    <x:dxf>
      <x:fill>
        <x:patternFill>
          <x:bgColor rgb="FFF0F2F4"/>
        </x:patternFill>
      </x:fill>
    </x:dxf>
    <x:dxf>
      <x:fill>
        <x:patternFill>
          <x:bgColor rgb="FFFFF1D9"/>
        </x:patternFill>
      </x:fill>
    </x:dxf>
    <x:dxf>
      <x:fill>
        <x:patternFill>
          <x:bgColor rgb="FFFFF1D9"/>
        </x:patternFill>
      </x:fill>
    </x:dxf>
    <x:dxf>
      <x:fill>
        <x:patternFill>
          <x:bgColor rgb="FFF0F2F4"/>
        </x:patternFill>
      </x:fill>
    </x:dxf>
    <x:dxf>
      <x:fill>
        <x:patternFill>
          <x:bgColor rgb="FFE5EFE7"/>
        </x:patternFill>
      </x:fill>
    </x:dxf>
    <x:dxf>
      <x:fill>
        <x:patternFill>
          <x:bgColor rgb="FFF0F2F4"/>
        </x:patternFill>
      </x:fill>
    </x:dxf>
    <x:dxf>
      <x:fill>
        <x:patternFill>
          <x:bgColor rgb="FFF0F2F4"/>
        </x:patternFill>
      </x:fill>
    </x:dxf>
    <x:dxf>
      <x:fill>
        <x:patternFill>
          <x:bgColor rgb="FFF0F2F4"/>
        </x:patternFill>
      </x:fill>
    </x:dxf>
    <x:dxf>
      <x:fill>
        <x:patternFill>
          <x:bgColor rgb="FFF0F2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3cab22d4db4fec" /><Relationship Type="http://schemas.openxmlformats.org/officeDocument/2006/relationships/theme" Target="/xl/theme/theme1.xml" Id="R1e2eaf2170514ce3" /><Relationship Type="http://schemas.openxmlformats.org/officeDocument/2006/relationships/sharedStrings" Target="/xl/sharedStrings.xml" Id="R7af9d02259f74dba" /><Relationship Type="http://schemas.openxmlformats.org/officeDocument/2006/relationships/worksheet" Target="/xl/worksheets/sheet1.xml" Id="R197b488313ce4855" /><Relationship Type="http://schemas.openxmlformats.org/officeDocument/2006/relationships/worksheet" Target="/xl/worksheets/sheet2.xml" Id="Rb4ac7f12014f458a" /><Relationship Type="http://schemas.openxmlformats.org/officeDocument/2006/relationships/worksheet" Target="/xl/worksheets/sheet3.xml" Id="R5746a821afc54c50" /><Relationship Type="http://schemas.openxmlformats.org/officeDocument/2006/relationships/worksheet" Target="/xl/worksheets/sheet4.xml" Id="Rcfccba9b4f104bc7" /></Relationships>
</file>

<file path=xl/tables/table1.xml><?xml version="1.0" encoding="utf-8"?>
<x:table xmlns:x="http://schemas.openxmlformats.org/spreadsheetml/2006/main" id="12" name="NSCGReview" displayName="NSCGReview" ref="A8:N137" headerRowCount="1" totalsRowCount="0" totalsRowShown="0">
  <x:autoFilter ref="A8:N137"/>
  <x:tableColumns count="14">
    <x:tableColumn id="1" name="NSCG code"/>
    <x:tableColumn id="2" name="NSCG occupation"/>
    <x:tableColumn id="3" name="Eligible people"/>
    <x:tableColumn id="4" name="Decision"/>
    <x:tableColumn id="5" name="Included people"/>
    <x:tableColumn id="6" name="Selected profile"/>
    <x:tableColumn id="7" name="Candidates"/>
    <x:tableColumn id="8" name="Rated .00"/>
    <x:tableColumn id="9" name="Supervisor exclusions"/>
    <x:tableColumn id="10" name="Reason"/>
    <x:tableColumn id="11" name="Notes"/>
    <x:tableColumn id="12" name="Rating coverage"/>
    <x:tableColumn id="13" name="Mapping assumption"/>
    <x:tableColumn id="14" name="Excluded people"/>
  </x:tableColumns>
  <x:tableStyleInfo name="TableStyleLight1" showFirstColumn="0" showLastColumn="0" showRowStripes="1" showColumnStripes="0"/>
</x:table>
</file>

<file path=xl/tables/table2.xml><?xml version="1.0" encoding="utf-8"?>
<x:table xmlns:x="http://schemas.openxmlformats.org/spreadsheetml/2006/main" id="13" name="ONETCandidates" displayName="ONETCandidates" ref="A5:P863" headerRowCount="1" totalsRowCount="0" totalsRowShown="0">
  <x:autoFilter ref="A5:P863"/>
  <x:tableColumns count="16">
    <x:tableColumn id="1" name="NSCG code"/>
    <x:tableColumn id="2" name="NSCG occupation"/>
    <x:tableColumn id="3" name="O*NET .00 code"/>
    <x:tableColumn id="4" name="O*NET occupation"/>
    <x:tableColumn id="5" name="Decision"/>
    <x:tableColumn id="6" name=".00 exists"/>
    <x:tableColumn id="7" name="Ratings"/>
    <x:tableColumn id="8" name="Achievement"/>
    <x:tableColumn id="9" name="Working Conditions"/>
    <x:tableColumn id="10" name="Recognition"/>
    <x:tableColumn id="11" name="Relationships"/>
    <x:tableColumn id="12" name="Support"/>
    <x:tableColumn id="13" name="Independence"/>
    <x:tableColumn id="14" name="O*NET definition"/>
    <x:tableColumn id="15" name="Definition URL"/>
    <x:tableColumn id="16" name="Scope / reason"/>
  </x:tableColumns>
  <x:tableStyleInfo name="TableStyleLight1" showFirstColumn="0" showLastColumn="0" showRowStripes="1" showColumnStripes="0"/>
</x:table>
</file>

<file path=xl/tables/table3.xml><?xml version="1.0" encoding="utf-8"?>
<x:table xmlns:x="http://schemas.openxmlformats.org/spreadsheetml/2006/main" id="14" name="GroupProfiles" displayName="GroupProfiles" ref="A5:T128" headerRowCount="1" totalsRowCount="0" totalsRowShown="0">
  <x:autoFilter ref="A5:T128"/>
  <x:tableColumns count="20">
    <x:tableColumn id="1" name="NSCG code"/>
    <x:tableColumn id="2" name="NSCG occupation"/>
    <x:tableColumn id="3" name="People"/>
    <x:tableColumn id="4" name="Profile method"/>
    <x:tableColumn id="5" name="Rated / candidates"/>
    <x:tableColumn id="6" name="Rating coverage (%)"/>
    <x:tableColumn id="7" name="Achievement"/>
    <x:tableColumn id="8" name="Working Conditions"/>
    <x:tableColumn id="9" name="Recognition"/>
    <x:tableColumn id="10" name="Relationships"/>
    <x:tableColumn id="11" name="Support"/>
    <x:tableColumn id="12" name="Independence"/>
    <x:tableColumn id="13" name="Achievement range"/>
    <x:tableColumn id="14" name="Working Conditions range"/>
    <x:tableColumn id="15" name="Recognition range"/>
    <x:tableColumn id="16" name="Relationships range"/>
    <x:tableColumn id="17" name="Support range"/>
    <x:tableColumn id="18" name="Independence range"/>
    <x:tableColumn id="19" name="Rating coverage"/>
    <x:tableColumn id="20" name="Mapping assumption"/>
  </x:tableColumns>
  <x:tableStyleInfo name="TableStyleLight1" showFirstColumn="0" showLastColumn="0" showRowStripes="1" showColumnStripes="0"/>
</x:table>
</file>

<file path=xl/tables/table4.xml><?xml version="1.0" encoding="utf-8"?>
<x:table xmlns:x="http://schemas.openxmlformats.org/spreadsheetml/2006/main" id="15" name="ScopeCategories" displayName="ScopeCategories" ref="A6:I10" headerRowCount="1" totalsRowCount="0" totalsRowShown="0">
  <x:autoFilter ref="A6:I10"/>
  <x:tableColumns count="9">
    <x:tableColumn id="1" name="NSCG code"/>
    <x:tableColumn id="2" name="Questionnaire code"/>
    <x:tableColumn id="3" name="NSCG occupation"/>
    <x:tableColumn id="4" name="Eligible people"/>
    <x:tableColumn id="5" name="Decision"/>
    <x:tableColumn id="6" name="Rated / members"/>
    <x:tableColumn id="7" name="Mapping assumption"/>
    <x:tableColumn id="8" name="Scope / reason"/>
    <x:tableColumn id="9" name="Review row"/>
  </x:tableColumns>
  <x:tableStyleInfo name="TableStyleLight1" showFirstColumn="0" showLastColumn="0" showRowStripes="1" showColumnStripes="0"/>
</x:table>
</file>

<file path=xl/tables/table5.xml><?xml version="1.0" encoding="utf-8"?>
<x:table xmlns:x="http://schemas.openxmlformats.org/spreadsheetml/2006/main" id="16" name="ScopeCandidateRows" displayName="ScopeCandidateRows" ref="A20:I61" headerRowCount="1" totalsRowCount="0" totalsRowShown="0">
  <x:autoFilter ref="A20:I61"/>
  <x:tableColumns count="9">
    <x:tableColumn id="1" name="NSCG code"/>
    <x:tableColumn id="2" name="O*NET .00"/>
    <x:tableColumn id="3" name="O*NET occupation"/>
    <x:tableColumn id="4" name="Ratings"/>
    <x:tableColumn id="5" name="Decision"/>
    <x:tableColumn id="6" name="Candidate row"/>
    <x:tableColumn id="7" name="Mapping assumption"/>
    <x:tableColumn id="8" name="Reason"/>
    <x:tableColumn id="9" name="Sour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b944baee5b42b2" /></Relationships>
</file>

<file path=xl/worksheets/_rels/sheet2.xml.rels>&#65279;<?xml version="1.0" encoding="utf-8"?><Relationships xmlns="http://schemas.openxmlformats.org/package/2006/relationships"><Relationship Type="http://schemas.openxmlformats.org/officeDocument/2006/relationships/table" Target="/xl/tables/table2.xml" Id="R94e24df967bd4c61" /></Relationships>
</file>

<file path=xl/worksheets/_rels/sheet3.xml.rels>&#65279;<?xml version="1.0" encoding="utf-8"?><Relationships xmlns="http://schemas.openxmlformats.org/package/2006/relationships"><Relationship Type="http://schemas.openxmlformats.org/officeDocument/2006/relationships/table" Target="/xl/tables/table3.xml" Id="R073d2fd3effc4148" /></Relationships>
</file>

<file path=xl/worksheets/_rels/sheet4.xml.rels>&#65279;<?xml version="1.0" encoding="utf-8"?><Relationships xmlns="http://schemas.openxmlformats.org/package/2006/relationships"><Relationship Type="http://schemas.openxmlformats.org/officeDocument/2006/relationships/table" Target="/xl/tables/table4.xml" Id="Rc5cc59bfa7844d27" /><Relationship Type="http://schemas.openxmlformats.org/officeDocument/2006/relationships/table" Target="/xl/tables/table5.xml" Id="Rc4d66e1fc3cb4548" /></Relationships>
</file>

<file path=xl/worksheets/sheet1.xml><?xml version="1.0" encoding="utf-8"?>
<x:worksheet xmlns:x="http://schemas.openxmlformats.org/spreadsheetml/2006/main">
  <x:sheetPr>
    <x:tabColor rgb="FF263A55"/>
  </x:sheetPr>
  <x:sheetViews>
    <x:sheetView showGridLines="0" workbookViewId="0">
      <x:pane xSplit="2" ySplit="8" topLeftCell="C9" activePane="bottomRight" state="frozen"/>
    </x:sheetView>
  </x:sheetViews>
  <x:sheetFormatPr defaultRowHeight="15"/>
  <x:cols>
    <x:col min="1" max="1" width="10" hidden="0" customWidth="1"/>
    <x:col min="2" max="2" width="40.560001373291016" hidden="0" customWidth="1"/>
    <x:col min="3" max="3" width="9.4399995803833" hidden="0" customWidth="1"/>
    <x:col min="4" max="4" width="18.329999923706055" hidden="0" customWidth="1"/>
    <x:col min="5" max="5" width="9.4399995803833" hidden="0" customWidth="1"/>
    <x:col min="6" max="6" width="12.779999732971191" hidden="0" customWidth="1"/>
    <x:col min="7" max="7" width="9.4399995803833" hidden="0" customWidth="1"/>
    <x:col min="8" max="8" width="9.4399995803833" hidden="0" customWidth="1"/>
    <x:col min="9" max="9" width="10" hidden="0" customWidth="1"/>
    <x:col min="10" max="10" width="46.66999816894531" hidden="0" customWidth="1"/>
    <x:col min="11" max="11" width="25.559999465942383" hidden="0" customWidth="1"/>
    <x:col min="13" max="13" width="22.219999313354492" hidden="0" customWidth="1"/>
    <x:col min="14" max="14" width="10" hidden="0" customWidth="1"/>
    <x:col min="16" max="16" width="21.670000076293945" hidden="0" customWidth="1"/>
    <x:col min="17" max="17" width="80" hidden="0" customWidth="1"/>
    <x:col min="12" max="12" width="12.220000267028809" hidden="0" customWidth="1"/>
  </x:cols>
  <x:sheetData>
    <x:row r="1">
      <x:c r="A1" s="2"/>
      <x:c r="B1" s="2"/>
      <x:c r="C1" s="2"/>
      <x:c r="D1" s="2"/>
      <x:c r="E1" s="2"/>
      <x:c r="F1" s="2"/>
      <x:c r="G1" s="2"/>
      <x:c r="H1" s="2"/>
      <x:c r="I1" s="2"/>
      <x:c r="J1" s="2"/>
      <x:c r="K1" s="2"/>
    </x:row>
    <x:row r="2" ht="22.5" customHeight="1">
      <x:c r="A2" s="2"/>
      <x:c r="B2" s="3" t="str">
        <x:v>NSCG occupation review</x:v>
      </x:c>
      <x:c r="C2" s="2"/>
      <x:c r="D2" s="2"/>
      <x:c r="E2" s="2"/>
      <x:c r="F2" s="2"/>
      <x:c r="G2" s="2"/>
      <x:c r="H2" s="2"/>
      <x:c r="I2" s="2"/>
      <x:c r="J2" s="2"/>
      <x:c r="K2" s="2"/>
    </x:row>
    <x:row r="3">
      <x:c r="A3" s="4"/>
      <x:c r="B3" s="4"/>
      <x:c r="C3" s="4"/>
      <x:c r="D3" s="4"/>
      <x:c r="E3" s="4"/>
      <x:c r="F3" s="4"/>
      <x:c r="G3" s="4"/>
      <x:c r="H3" s="4"/>
      <x:c r="I3" s="4"/>
      <x:c r="J3" s="4"/>
      <x:c r="K3" s="4"/>
    </x:row>
    <x:row r="4" ht="21" customHeight="1">
      <x:c r="A4" s="2" t="str">
        <x:v>Included</x:v>
      </x:c>
      <x:c r="B4" s="6" t="n">
        <x:f>SUM(E9:E137)</x:f>
        <x:v>74016</x:v>
      </x:c>
      <x:c r="C4" s="2" t="str">
        <x:v>Occupations</x:v>
      </x:c>
      <x:c r="D4" s="6" t="n">
        <x:f>COUNTIFS(E9:E137,"&gt;0")</x:f>
        <x:v>123</x:v>
      </x:c>
      <x:c r="E4" s="2" t="str">
        <x:v>Eligible</x:v>
      </x:c>
      <x:c r="F4" s="6" t="n">
        <x:f>SUM(C9:C137)</x:f>
        <x:v>79800</x:v>
      </x:c>
      <x:c r="G4" s="2" t="str">
        <x:v>Excluded</x:v>
      </x:c>
      <x:c r="H4" s="6" t="n">
        <x:f>F4-B4</x:f>
        <x:v>5784</x:v>
      </x:c>
      <x:c r="I4" s="2"/>
      <x:c r="J4" s="2"/>
      <x:c r="K4" s="2"/>
    </x:row>
    <x:row r="5" ht="17.25" customHeight="1">
      <x:c r="A5" s="7" t="str">
        <x:v>Raw sample</x:v>
      </x:c>
      <x:c r="B5" s="7" t="str">
        <x:v>94,606 respondents; 14,806 outside this analysis.</x:v>
      </x:c>
      <x:c r="C5" s="7"/>
      <x:c r="D5" s="7"/>
      <x:c r="E5" s="7"/>
      <x:c r="F5" s="7"/>
      <x:c r="G5" s="7"/>
      <x:c r="H5" s="7"/>
      <x:c r="I5" s="7"/>
      <x:c r="J5" s="7" t="str">
        <x:v>Partial: missing member ratings. Proxy: a mapping assumption.</x:v>
      </x:c>
      <x:c r="K5" s="7"/>
    </x:row>
    <x:row r="6" ht="17.25" customHeight="1">
      <x:c r="A6" s="7" t="str">
        <x:v>Coverage</x:v>
      </x:c>
      <x:c r="B6" s="7" t="str">
        <x:f>"full "&amp;TEXT(SUMIFS(E9:E137,L9:L137,"full"),"#,##0")&amp;" / partial "&amp;TEXT(SUMIFS(E9:E137,L9:L137,"partial"),"#,##0")</x:f>
        <x:v>full 39,084 / partial 34,932</x:v>
      </x:c>
      <x:c r="C6" s="7"/>
      <x:c r="D6" s="7"/>
      <x:c r="E6" s="7"/>
      <x:c r="F6" s="7"/>
      <x:c r="G6" s="7"/>
      <x:c r="H6" s="7"/>
      <x:c r="I6" s="7"/>
      <x:c r="J6" s="7" t="str">
        <x:v>Coverage and mapping assumptions are separate; neither proves an exact job match.</x:v>
      </x:c>
      <x:c r="K6" s="7"/>
    </x:row>
    <x:row r="7" ht="17.25" customHeight="1">
      <x:c r="A7" s="7" t="str">
        <x:v>Selection</x:v>
      </x:c>
      <x:c r="B7" s="7" t="str">
        <x:v>123 categories included; 6 excluded.</x:v>
      </x:c>
      <x:c r="C7" s="7"/>
      <x:c r="D7" s="7"/>
      <x:c r="E7" s="7"/>
      <x:c r="F7" s="7"/>
      <x:c r="G7" s="7"/>
      <x:c r="H7" s="7"/>
      <x:c r="I7" s="7"/>
      <x:c r="J7" s="7" t="str">
        <x:v>Only .00 profiles. Integrated CSV: 74,016 rows.</x:v>
      </x:c>
      <x:c r="K7" s="7"/>
    </x:row>
    <x:row r="8" ht="31.5" customHeight="1">
      <x:c r="A8" s="50" t="str">
        <x:v>NSCG code</x:v>
      </x:c>
      <x:c r="B8" s="50" t="str">
        <x:v>NSCG occupation</x:v>
      </x:c>
      <x:c r="C8" s="50" t="str">
        <x:v>Eligible people</x:v>
      </x:c>
      <x:c r="D8" s="50" t="str">
        <x:v>Decision</x:v>
      </x:c>
      <x:c r="E8" s="50" t="str">
        <x:v>Included people</x:v>
      </x:c>
      <x:c r="F8" s="50" t="str">
        <x:v>Selected profile</x:v>
      </x:c>
      <x:c r="G8" s="50" t="str">
        <x:v>Candidates</x:v>
      </x:c>
      <x:c r="H8" s="50" t="str">
        <x:v>Rated .00</x:v>
      </x:c>
      <x:c r="I8" s="50" t="str">
        <x:v>Supervisor exclusions</x:v>
      </x:c>
      <x:c r="J8" s="50" t="str">
        <x:v>Reason</x:v>
      </x:c>
      <x:c r="K8" s="50" t="str">
        <x:v>Notes</x:v>
      </x:c>
      <x:c r="L8" s="50" t="str">
        <x:v>Rating coverage</x:v>
      </x:c>
      <x:c r="M8" s="50" t="str">
        <x:v>Mapping assumption</x:v>
      </x:c>
      <x:c r="N8" s="50" t="str">
        <x:v>Excluded people</x:v>
      </x:c>
    </x:row>
    <x:row r="9" ht="34.5" customHeight="1">
      <x:c r="A9" s="15" t="str">
        <x:v>110510</x:v>
      </x:c>
      <x:c r="B9" s="12" t="str">
        <x:v>Computer and information research scientists</x:v>
      </x:c>
      <x:c r="C9" s="14" t="n">
        <x:v>407</x:v>
      </x:c>
      <x:c r="D9" s="12" t="str">
        <x:v>Include</x:v>
      </x:c>
      <x:c r="E9" s="14" t="n">
        <x:v>407</x:v>
      </x:c>
      <x:c r="F9" s="15" t="str">
        <x:v>15-1221.00</x:v>
      </x:c>
      <x:c r="G9" s="14" t="n">
        <x:v>1</x:v>
      </x:c>
      <x:c r="H9" s="14" t="n">
        <x:v>1</x:v>
      </x:c>
      <x:c r="I9" s="14" t="n">
        <x:v>0</x:v>
      </x:c>
      <x:c r="J9" s="12" t="str">
        <x:v>Occupation titles and scope align.</x:v>
      </x:c>
      <x:c r="K9" s="51" t="str"/>
      <x:c r="L9" s="12" t="str">
        <x:v>full</x:v>
      </x:c>
      <x:c r="M9" s="12" t="str">
        <x:v>None</x:v>
      </x:c>
      <x:c r="N9" s="14" t="n">
        <x:f>C9-E9</x:f>
        <x:v>0</x:v>
      </x:c>
    </x:row>
    <x:row r="10" ht="34.5" customHeight="1">
      <x:c r="A10" s="15" t="str">
        <x:v>110520</x:v>
      </x:c>
      <x:c r="B10" s="12" t="str">
        <x:v>Computer network architects</x:v>
      </x:c>
      <x:c r="C10" s="14" t="n">
        <x:v>133</x:v>
      </x:c>
      <x:c r="D10" s="12" t="str">
        <x:v>Include</x:v>
      </x:c>
      <x:c r="E10" s="14" t="n">
        <x:v>133</x:v>
      </x:c>
      <x:c r="F10" s="15" t="str">
        <x:v>15-1241.00</x:v>
      </x:c>
      <x:c r="G10" s="14" t="n">
        <x:v>1</x:v>
      </x:c>
      <x:c r="H10" s="14" t="n">
        <x:v>1</x:v>
      </x:c>
      <x:c r="I10" s="14" t="n">
        <x:v>0</x:v>
      </x:c>
      <x:c r="J10" s="12" t="str">
        <x:v>Use the rated .00 profile; omit detailed subtypes.</x:v>
      </x:c>
      <x:c r="K10" s="51" t="str"/>
      <x:c r="L10" s="12" t="str">
        <x:v>full</x:v>
      </x:c>
      <x:c r="M10" s="12" t="str">
        <x:v>None</x:v>
      </x:c>
      <x:c r="N10" s="14" t="n">
        <x:f>C10-E10</x:f>
        <x:v>0</x:v>
      </x:c>
    </x:row>
    <x:row r="11" ht="34.5" customHeight="1">
      <x:c r="A11" s="15" t="str">
        <x:v>110540</x:v>
      </x:c>
      <x:c r="B11" s="12" t="str">
        <x:v>Computer support specialists</x:v>
      </x:c>
      <x:c r="C11" s="14" t="n">
        <x:v>599</x:v>
      </x:c>
      <x:c r="D11" s="12" t="str">
        <x:v>Include</x:v>
      </x:c>
      <x:c r="E11" s="14" t="n">
        <x:v>599</x:v>
      </x:c>
      <x:c r="F11" s="15" t="str">
        <x:v>Group mean</x:v>
      </x:c>
      <x:c r="G11" s="14" t="n">
        <x:v>2</x:v>
      </x:c>
      <x:c r="H11" s="14" t="n">
        <x:v>2</x:v>
      </x:c>
      <x:c r="I11" s="14" t="n">
        <x:v>0</x:v>
      </x:c>
      <x:c r="J11" s="12" t="str">
        <x:v>Mean of network and user support specialists.</x:v>
      </x:c>
      <x:c r="K11" s="51" t="str"/>
      <x:c r="L11" s="12" t="str">
        <x:v>full</x:v>
      </x:c>
      <x:c r="M11" s="12" t="str">
        <x:v>None</x:v>
      </x:c>
      <x:c r="N11" s="14" t="n">
        <x:f>C11-E11</x:f>
        <x:v>0</x:v>
      </x:c>
    </x:row>
    <x:row r="12" ht="34.5" customHeight="1">
      <x:c r="A12" s="15" t="str">
        <x:v>110550</x:v>
      </x:c>
      <x:c r="B12" s="12" t="str">
        <x:v>Computer system analysts</x:v>
      </x:c>
      <x:c r="C12" s="14" t="n">
        <x:v>938</x:v>
      </x:c>
      <x:c r="D12" s="12" t="str">
        <x:v>Include</x:v>
      </x:c>
      <x:c r="E12" s="14" t="n">
        <x:v>938</x:v>
      </x:c>
      <x:c r="F12" s="15" t="str">
        <x:v>15-1211.00</x:v>
      </x:c>
      <x:c r="G12" s="14" t="n">
        <x:v>1</x:v>
      </x:c>
      <x:c r="H12" s="14" t="n">
        <x:v>1</x:v>
      </x:c>
      <x:c r="I12" s="14" t="n">
        <x:v>0</x:v>
      </x:c>
      <x:c r="J12" s="12" t="str">
        <x:v>System/systems wording differs; occupation scope aligns.</x:v>
      </x:c>
      <x:c r="K12" s="51" t="str"/>
      <x:c r="L12" s="12" t="str">
        <x:v>full</x:v>
      </x:c>
      <x:c r="M12" s="12" t="str">
        <x:v>None</x:v>
      </x:c>
      <x:c r="N12" s="14" t="n">
        <x:f>C12-E12</x:f>
        <x:v>0</x:v>
      </x:c>
    </x:row>
    <x:row r="13" ht="37.5" customHeight="1">
      <x:c r="A13" s="15" t="str">
        <x:v>110560</x:v>
      </x:c>
      <x:c r="B13" s="12" t="str">
        <x:v>Database administrators</x:v>
      </x:c>
      <x:c r="C13" s="14" t="n">
        <x:v>312</x:v>
      </x:c>
      <x:c r="D13" s="12" t="str">
        <x:v>Include</x:v>
      </x:c>
      <x:c r="E13" s="14" t="n">
        <x:v>312</x:v>
      </x:c>
      <x:c r="F13" s="15" t="str">
        <x:v>15-1242.00</x:v>
      </x:c>
      <x:c r="G13" s="14" t="n">
        <x:v>1</x:v>
      </x:c>
      <x:c r="H13" s="14" t="n">
        <x:v>1</x:v>
      </x:c>
      <x:c r="I13" s="14" t="n">
        <x:v>0</x:v>
      </x:c>
      <x:c r="J13" s="12" t="str">
        <x:v>Use Database Administrators; exclude Database Architects.</x:v>
      </x:c>
      <x:c r="K13" s="51" t="str"/>
      <x:c r="L13" s="12" t="str">
        <x:v>full</x:v>
      </x:c>
      <x:c r="M13" s="12" t="str">
        <x:v>None</x:v>
      </x:c>
      <x:c r="N13" s="14" t="n">
        <x:f>C13-E13</x:f>
        <x:v>0</x:v>
      </x:c>
    </x:row>
    <x:row r="14" ht="34.5" customHeight="1">
      <x:c r="A14" s="15" t="str">
        <x:v>110570</x:v>
      </x:c>
      <x:c r="B14" s="12" t="str">
        <x:v>Information security analysts</x:v>
      </x:c>
      <x:c r="C14" s="14" t="n">
        <x:v>361</x:v>
      </x:c>
      <x:c r="D14" s="12" t="str">
        <x:v>Include</x:v>
      </x:c>
      <x:c r="E14" s="14" t="n">
        <x:v>361</x:v>
      </x:c>
      <x:c r="F14" s="15" t="str">
        <x:v>15-1212.00</x:v>
      </x:c>
      <x:c r="G14" s="14" t="n">
        <x:v>1</x:v>
      </x:c>
      <x:c r="H14" s="14" t="n">
        <x:v>1</x:v>
      </x:c>
      <x:c r="I14" s="14" t="n">
        <x:v>0</x:v>
      </x:c>
      <x:c r="J14" s="12" t="str">
        <x:v>Occupation titles and scope align.</x:v>
      </x:c>
      <x:c r="K14" s="51" t="str"/>
      <x:c r="L14" s="12" t="str">
        <x:v>full</x:v>
      </x:c>
      <x:c r="M14" s="12" t="str">
        <x:v>None</x:v>
      </x:c>
      <x:c r="N14" s="14" t="n">
        <x:f>C14-E14</x:f>
        <x:v>0</x:v>
      </x:c>
    </x:row>
    <x:row r="15" ht="34.5" customHeight="1">
      <x:c r="A15" s="15" t="str">
        <x:v>110580</x:v>
      </x:c>
      <x:c r="B15" s="12" t="str">
        <x:v>Network and computer systems administrators</x:v>
      </x:c>
      <x:c r="C15" s="14" t="n">
        <x:v>415</x:v>
      </x:c>
      <x:c r="D15" s="12" t="str">
        <x:v>Include</x:v>
      </x:c>
      <x:c r="E15" s="14" t="n">
        <x:v>415</x:v>
      </x:c>
      <x:c r="F15" s="15" t="str">
        <x:v>15-1244.00</x:v>
      </x:c>
      <x:c r="G15" s="14" t="n">
        <x:v>1</x:v>
      </x:c>
      <x:c r="H15" s="14" t="n">
        <x:v>1</x:v>
      </x:c>
      <x:c r="I15" s="14" t="n">
        <x:v>0</x:v>
      </x:c>
      <x:c r="J15" s="12" t="str">
        <x:v>Occupation titles and scope align.</x:v>
      </x:c>
      <x:c r="K15" s="51" t="str"/>
      <x:c r="L15" s="12" t="str">
        <x:v>full</x:v>
      </x:c>
      <x:c r="M15" s="12" t="str">
        <x:v>None</x:v>
      </x:c>
      <x:c r="N15" s="14" t="n">
        <x:f>C15-E15</x:f>
        <x:v>0</x:v>
      </x:c>
    </x:row>
    <x:row r="16" ht="34.5" customHeight="1">
      <x:c r="A16" s="15" t="str">
        <x:v>110590</x:v>
      </x:c>
      <x:c r="B16" s="12" t="str">
        <x:v>Software developers – applications and systems software</x:v>
      </x:c>
      <x:c r="C16" s="14" t="n">
        <x:v>4069</x:v>
      </x:c>
      <x:c r="D16" s="12" t="str">
        <x:v>Exclude (no Work Values)</x:v>
      </x:c>
      <x:c r="E16" s="14" t="n">
        <x:v>0</x:v>
      </x:c>
      <x:c r="F16" s="15" t="str"/>
      <x:c r="G16" s="14" t="n">
        <x:v>1</x:v>
      </x:c>
      <x:c r="H16" s="14" t="n">
        <x:v>0</x:v>
      </x:c>
      <x:c r="I16" s="14" t="n">
        <x:v>0</x:v>
      </x:c>
      <x:c r="J16" s="12" t="str">
        <x:v>No Work Values for Software Developers .00; do not substitute subtype ratings.</x:v>
      </x:c>
      <x:c r="K16" s="51" t="str"/>
      <x:c r="L16" s="12" t="str">
        <x:v>Not applicable</x:v>
      </x:c>
      <x:c r="M16" s="12" t="str">
        <x:v>None</x:v>
      </x:c>
      <x:c r="N16" s="14" t="n">
        <x:f>C16-E16</x:f>
        <x:v>4069</x:v>
      </x:c>
    </x:row>
    <x:row r="17" ht="37.5" customHeight="1">
      <x:c r="A17" s="15" t="str">
        <x:v>110600</x:v>
      </x:c>
      <x:c r="B17" s="12" t="str">
        <x:v>Web developers</x:v>
      </x:c>
      <x:c r="C17" s="14" t="n">
        <x:v>325</x:v>
      </x:c>
      <x:c r="D17" s="12" t="str">
        <x:v>Include</x:v>
      </x:c>
      <x:c r="E17" s="14" t="n">
        <x:v>325</x:v>
      </x:c>
      <x:c r="F17" s="15" t="str">
        <x:v>15-1254.00</x:v>
      </x:c>
      <x:c r="G17" s="14" t="n">
        <x:v>1</x:v>
      </x:c>
      <x:c r="H17" s="14" t="n">
        <x:v>1</x:v>
      </x:c>
      <x:c r="I17" s="14" t="n">
        <x:v>0</x:v>
      </x:c>
      <x:c r="J17" s="12" t="str">
        <x:v>Use Web Developers; exclude Web and Digital Interface Designers.</x:v>
      </x:c>
      <x:c r="K17" s="51" t="str"/>
      <x:c r="L17" s="12" t="str">
        <x:v>full</x:v>
      </x:c>
      <x:c r="M17" s="12" t="str">
        <x:v>None</x:v>
      </x:c>
      <x:c r="N17" s="14" t="n">
        <x:f>C17-E17</x:f>
        <x:v>0</x:v>
      </x:c>
    </x:row>
    <x:row r="18" ht="50.25" customHeight="1">
      <x:c r="A18" s="15" t="str">
        <x:v>110610</x:v>
      </x:c>
      <x:c r="B18" s="12" t="str">
        <x:v>Other computer and information science occupations</x:v>
      </x:c>
      <x:c r="C18" s="14" t="n">
        <x:v>1162</x:v>
      </x:c>
      <x:c r="D18" s="12" t="str">
        <x:v>Include</x:v>
      </x:c>
      <x:c r="E18" s="14" t="n">
        <x:v>1162</x:v>
      </x:c>
      <x:c r="F18" s="15" t="str">
        <x:v>Group mean</x:v>
      </x:c>
      <x:c r="G18" s="14" t="n">
        <x:v>4</x:v>
      </x:c>
      <x:c r="H18" s="14" t="n">
        <x:v>2</x:v>
      </x:c>
      <x:c r="I18" s="14" t="n">
        <x:v>0</x:v>
      </x:c>
      <x:c r="J18" s="12" t="str">
        <x:v>SOC15-1200 minus separately listed computer occupations and programmers; includes database architects, software testers, interface designers and other computer occupations.</x:v>
      </x:c>
      <x:c r="K18" s="51" t="str"/>
      <x:c r="L18" s="12" t="str">
        <x:v>partial</x:v>
      </x:c>
      <x:c r="M18" s="12" t="str">
        <x:v>Remaining occupation group</x:v>
      </x:c>
      <x:c r="N18" s="14" t="n">
        <x:f>C18-E18</x:f>
        <x:v>0</x:v>
      </x:c>
    </x:row>
    <x:row r="19" ht="34.5" customHeight="1">
      <x:c r="A19" s="15" t="str">
        <x:v>121720</x:v>
      </x:c>
      <x:c r="B19" s="12" t="str">
        <x:v>Mathematicians</x:v>
      </x:c>
      <x:c r="C19" s="14" t="n">
        <x:v>46</x:v>
      </x:c>
      <x:c r="D19" s="12" t="str">
        <x:v>Include</x:v>
      </x:c>
      <x:c r="E19" s="14" t="n">
        <x:v>46</x:v>
      </x:c>
      <x:c r="F19" s="15" t="str">
        <x:v>15-2021.00</x:v>
      </x:c>
      <x:c r="G19" s="14" t="n">
        <x:v>1</x:v>
      </x:c>
      <x:c r="H19" s="14" t="n">
        <x:v>1</x:v>
      </x:c>
      <x:c r="I19" s="14" t="n">
        <x:v>0</x:v>
      </x:c>
      <x:c r="J19" s="12" t="str">
        <x:v>Occupation titles and scope align.</x:v>
      </x:c>
      <x:c r="K19" s="51" t="str"/>
      <x:c r="L19" s="12" t="str">
        <x:v>full</x:v>
      </x:c>
      <x:c r="M19" s="12" t="str">
        <x:v>None</x:v>
      </x:c>
      <x:c r="N19" s="14" t="n">
        <x:f>C19-E19</x:f>
        <x:v>0</x:v>
      </x:c>
    </x:row>
    <x:row r="20" ht="34.5" customHeight="1">
      <x:c r="A20" s="15" t="str">
        <x:v>121730</x:v>
      </x:c>
      <x:c r="B20" s="12" t="str">
        <x:v>Operations research analysts</x:v>
      </x:c>
      <x:c r="C20" s="14" t="n">
        <x:v>371</x:v>
      </x:c>
      <x:c r="D20" s="12" t="str">
        <x:v>Include</x:v>
      </x:c>
      <x:c r="E20" s="14" t="n">
        <x:v>371</x:v>
      </x:c>
      <x:c r="F20" s="15" t="str">
        <x:v>15-2031.00</x:v>
      </x:c>
      <x:c r="G20" s="14" t="n">
        <x:v>1</x:v>
      </x:c>
      <x:c r="H20" s="14" t="n">
        <x:v>1</x:v>
      </x:c>
      <x:c r="I20" s="14" t="n">
        <x:v>0</x:v>
      </x:c>
      <x:c r="J20" s="12" t="str">
        <x:v>Occupation titles and scope align.</x:v>
      </x:c>
      <x:c r="K20" s="51" t="str"/>
      <x:c r="L20" s="12" t="str">
        <x:v>full</x:v>
      </x:c>
      <x:c r="M20" s="12" t="str">
        <x:v>None</x:v>
      </x:c>
      <x:c r="N20" s="14" t="n">
        <x:f>C20-E20</x:f>
        <x:v>0</x:v>
      </x:c>
    </x:row>
    <x:row r="21" ht="34.5" customHeight="1">
      <x:c r="A21" s="15" t="str">
        <x:v>121740</x:v>
      </x:c>
      <x:c r="B21" s="12" t="str">
        <x:v>Statisticians</x:v>
      </x:c>
      <x:c r="C21" s="14" t="n">
        <x:v>322</x:v>
      </x:c>
      <x:c r="D21" s="12" t="str">
        <x:v>Include</x:v>
      </x:c>
      <x:c r="E21" s="14" t="n">
        <x:v>322</x:v>
      </x:c>
      <x:c r="F21" s="15" t="str">
        <x:v>15-2041.00</x:v>
      </x:c>
      <x:c r="G21" s="14" t="n">
        <x:v>1</x:v>
      </x:c>
      <x:c r="H21" s="14" t="n">
        <x:v>1</x:v>
      </x:c>
      <x:c r="I21" s="14" t="n">
        <x:v>0</x:v>
      </x:c>
      <x:c r="J21" s="12" t="str">
        <x:v>Use the rated .00 profile; omit detailed subtypes.</x:v>
      </x:c>
      <x:c r="K21" s="51" t="str"/>
      <x:c r="L21" s="12" t="str">
        <x:v>full</x:v>
      </x:c>
      <x:c r="M21" s="12" t="str">
        <x:v>None</x:v>
      </x:c>
      <x:c r="N21" s="14" t="n">
        <x:f>C21-E21</x:f>
        <x:v>0</x:v>
      </x:c>
    </x:row>
    <x:row r="22" ht="34.5" customHeight="1">
      <x:c r="A22" s="15" t="str">
        <x:v>121760</x:v>
      </x:c>
      <x:c r="B22" s="12" t="str">
        <x:v>Other mathematical scientists</x:v>
      </x:c>
      <x:c r="C22" s="14" t="n">
        <x:v>79</x:v>
      </x:c>
      <x:c r="D22" s="12" t="str">
        <x:v>Exclude (no Work Values)</x:v>
      </x:c>
      <x:c r="E22" s="14" t="n">
        <x:v>0</x:v>
      </x:c>
      <x:c r="F22" s="15" t="str"/>
      <x:c r="G22" s="14" t="n">
        <x:v>1</x:v>
      </x:c>
      <x:c r="H22" s="14" t="n">
        <x:v>0</x:v>
      </x:c>
      <x:c r="I22" s="14" t="n">
        <x:v>0</x:v>
      </x:c>
      <x:c r="J22" s="12" t="str">
        <x:v>No Work Values for Mathematical Science Occupations, All Other .00.</x:v>
      </x:c>
      <x:c r="K22" s="51" t="str"/>
      <x:c r="L22" s="12" t="str">
        <x:v>Not applicable</x:v>
      </x:c>
      <x:c r="M22" s="12" t="str">
        <x:v>None</x:v>
      </x:c>
      <x:c r="N22" s="14" t="n">
        <x:f>C22-E22</x:f>
        <x:v>79</x:v>
      </x:c>
    </x:row>
    <x:row r="23" ht="34.5" customHeight="1">
      <x:c r="A23" s="15" t="str">
        <x:v>121770</x:v>
      </x:c>
      <x:c r="B23" s="12" t="str">
        <x:v>Data scientists</x:v>
      </x:c>
      <x:c r="C23" s="14" t="n">
        <x:v>411</x:v>
      </x:c>
      <x:c r="D23" s="12" t="str">
        <x:v>Exclude (no Work Values)</x:v>
      </x:c>
      <x:c r="E23" s="14" t="n">
        <x:v>0</x:v>
      </x:c>
      <x:c r="F23" s="15" t="str"/>
      <x:c r="G23" s="14" t="n">
        <x:v>1</x:v>
      </x:c>
      <x:c r="H23" s="14" t="n">
        <x:v>0</x:v>
      </x:c>
      <x:c r="I23" s="14" t="n">
        <x:v>0</x:v>
      </x:c>
      <x:c r="J23" s="12" t="str">
        <x:v>No Work Values for Data Scientists .00; omit rated subtypes.</x:v>
      </x:c>
      <x:c r="K23" s="51" t="str"/>
      <x:c r="L23" s="12" t="str">
        <x:v>Not applicable</x:v>
      </x:c>
      <x:c r="M23" s="12" t="str">
        <x:v>None</x:v>
      </x:c>
      <x:c r="N23" s="14" t="n">
        <x:f>C23-E23</x:f>
        <x:v>411</x:v>
      </x:c>
    </x:row>
    <x:row r="24" ht="34.5" customHeight="1">
      <x:c r="A24" s="15" t="str">
        <x:v>182760</x:v>
      </x:c>
      <x:c r="B24" s="12" t="str">
        <x:v>Postsecondary teachers - Computer sciences</x:v>
      </x:c>
      <x:c r="C24" s="14" t="n">
        <x:v>154</x:v>
      </x:c>
      <x:c r="D24" s="12" t="str">
        <x:v>Include</x:v>
      </x:c>
      <x:c r="E24" s="14" t="n">
        <x:v>154</x:v>
      </x:c>
      <x:c r="F24" s="15" t="str">
        <x:v>25-1021.00</x:v>
      </x:c>
      <x:c r="G24" s="14" t="n">
        <x:v>1</x:v>
      </x:c>
      <x:c r="H24" s="14" t="n">
        <x:v>1</x:v>
      </x:c>
      <x:c r="I24" s="14" t="n">
        <x:v>0</x:v>
      </x:c>
      <x:c r="J24" s="12" t="str">
        <x:v>Use the subject-specific postsecondary teaching profile.</x:v>
      </x:c>
      <x:c r="K24" s="51" t="str"/>
      <x:c r="L24" s="12" t="str">
        <x:v>full</x:v>
      </x:c>
      <x:c r="M24" s="12" t="str">
        <x:v>None</x:v>
      </x:c>
      <x:c r="N24" s="14" t="n">
        <x:f>C24-E24</x:f>
        <x:v>0</x:v>
      </x:c>
    </x:row>
    <x:row r="25" ht="34.5" customHeight="1">
      <x:c r="A25" s="15" t="str">
        <x:v>182860</x:v>
      </x:c>
      <x:c r="B25" s="12" t="str">
        <x:v>Postsecondary teachers - Mathematical sciences</x:v>
      </x:c>
      <x:c r="C25" s="14" t="n">
        <x:v>322</x:v>
      </x:c>
      <x:c r="D25" s="12" t="str">
        <x:v>Include</x:v>
      </x:c>
      <x:c r="E25" s="14" t="n">
        <x:v>322</x:v>
      </x:c>
      <x:c r="F25" s="15" t="str">
        <x:v>25-1022.00</x:v>
      </x:c>
      <x:c r="G25" s="14" t="n">
        <x:v>1</x:v>
      </x:c>
      <x:c r="H25" s="14" t="n">
        <x:v>1</x:v>
      </x:c>
      <x:c r="I25" s="14" t="n">
        <x:v>0</x:v>
      </x:c>
      <x:c r="J25" s="12" t="str">
        <x:v>Use the subject-specific postsecondary teaching profile.</x:v>
      </x:c>
      <x:c r="K25" s="51" t="str"/>
      <x:c r="L25" s="12" t="str">
        <x:v>full</x:v>
      </x:c>
      <x:c r="M25" s="12" t="str">
        <x:v>None</x:v>
      </x:c>
      <x:c r="N25" s="14" t="n">
        <x:f>C25-E25</x:f>
        <x:v>0</x:v>
      </x:c>
    </x:row>
    <x:row r="26" ht="37.5" customHeight="1">
      <x:c r="A26" s="15" t="str">
        <x:v>210210</x:v>
      </x:c>
      <x:c r="B26" s="12" t="str">
        <x:v>Agricultural and food scientists</x:v>
      </x:c>
      <x:c r="C26" s="14" t="n">
        <x:v>331</x:v>
      </x:c>
      <x:c r="D26" s="12" t="str">
        <x:v>Include</x:v>
      </x:c>
      <x:c r="E26" s="14" t="n">
        <x:v>331</x:v>
      </x:c>
      <x:c r="F26" s="15" t="str">
        <x:v>Group mean</x:v>
      </x:c>
      <x:c r="G26" s="14" t="n">
        <x:v>3</x:v>
      </x:c>
      <x:c r="H26" s="14" t="n">
        <x:v>3</x:v>
      </x:c>
      <x:c r="I26" s="14" t="n">
        <x:v>0</x:v>
      </x:c>
      <x:c r="J26" s="12" t="str">
        <x:v>Mean of animal, food, and soil/plant scientists.</x:v>
      </x:c>
      <x:c r="K26" s="51" t="str"/>
      <x:c r="L26" s="12" t="str">
        <x:v>full</x:v>
      </x:c>
      <x:c r="M26" s="12" t="str">
        <x:v>None</x:v>
      </x:c>
      <x:c r="N26" s="14" t="n">
        <x:f>C26-E26</x:f>
        <x:v>0</x:v>
      </x:c>
    </x:row>
    <x:row r="27" ht="34.5" customHeight="1">
      <x:c r="A27" s="15" t="str">
        <x:v>220220</x:v>
      </x:c>
      <x:c r="B27" s="12" t="str">
        <x:v>Biochemists and biophysicists</x:v>
      </x:c>
      <x:c r="C27" s="14" t="n">
        <x:v>591</x:v>
      </x:c>
      <x:c r="D27" s="12" t="str">
        <x:v>Include</x:v>
      </x:c>
      <x:c r="E27" s="14" t="n">
        <x:v>591</x:v>
      </x:c>
      <x:c r="F27" s="15" t="str">
        <x:v>19-1021.00</x:v>
      </x:c>
      <x:c r="G27" s="14" t="n">
        <x:v>1</x:v>
      </x:c>
      <x:c r="H27" s="14" t="n">
        <x:v>1</x:v>
      </x:c>
      <x:c r="I27" s="14" t="n">
        <x:v>0</x:v>
      </x:c>
      <x:c r="J27" s="12" t="str">
        <x:v>Occupation titles and scope align.</x:v>
      </x:c>
      <x:c r="K27" s="51" t="str"/>
      <x:c r="L27" s="12" t="str">
        <x:v>full</x:v>
      </x:c>
      <x:c r="M27" s="12" t="str">
        <x:v>None</x:v>
      </x:c>
      <x:c r="N27" s="14" t="n">
        <x:f>C27-E27</x:f>
        <x:v>0</x:v>
      </x:c>
    </x:row>
    <x:row r="28" ht="37.5" customHeight="1">
      <x:c r="A28" s="15" t="str">
        <x:v>220230</x:v>
      </x:c>
      <x:c r="B28" s="12" t="str">
        <x:v>Biological scientists (e.g., botanists, ecologists, zoologists)</x:v>
      </x:c>
      <x:c r="C28" s="14" t="n">
        <x:v>913</x:v>
      </x:c>
      <x:c r="D28" s="12" t="str">
        <x:v>Include</x:v>
      </x:c>
      <x:c r="E28" s="14" t="n">
        <x:v>913</x:v>
      </x:c>
      <x:c r="F28" s="15" t="str">
        <x:v>Group mean</x:v>
      </x:c>
      <x:c r="G28" s="14" t="n">
        <x:v>3</x:v>
      </x:c>
      <x:c r="H28" s="14" t="n">
        <x:v>2</x:v>
      </x:c>
      <x:c r="I28" s="14" t="n">
        <x:v>0</x:v>
      </x:c>
      <x:c r="J28" s="12" t="str">
        <x:v>Microbiologists, zoologists and other biological scientists; average rated members.</x:v>
      </x:c>
      <x:c r="K28" s="51" t="str"/>
      <x:c r="L28" s="12" t="str">
        <x:v>partial</x:v>
      </x:c>
      <x:c r="M28" s="12" t="str">
        <x:v>None</x:v>
      </x:c>
      <x:c r="N28" s="14" t="n">
        <x:f>C28-E28</x:f>
        <x:v>0</x:v>
      </x:c>
    </x:row>
    <x:row r="29" ht="37.5" customHeight="1">
      <x:c r="A29" s="15" t="str">
        <x:v>220250</x:v>
      </x:c>
      <x:c r="B29" s="12" t="str">
        <x:v>Medical scientists (excluding practitioners)</x:v>
      </x:c>
      <x:c r="C29" s="14" t="n">
        <x:v>680</x:v>
      </x:c>
      <x:c r="D29" s="12" t="str">
        <x:v>Include</x:v>
      </x:c>
      <x:c r="E29" s="14" t="n">
        <x:v>680</x:v>
      </x:c>
      <x:c r="F29" s="15" t="str">
        <x:v>Group mean</x:v>
      </x:c>
      <x:c r="G29" s="14" t="n">
        <x:v>2</x:v>
      </x:c>
      <x:c r="H29" s="14" t="n">
        <x:v>2</x:v>
      </x:c>
      <x:c r="I29" s="14" t="n">
        <x:v>0</x:v>
      </x:c>
      <x:c r="J29" s="12" t="str">
        <x:v>Nonclinical medical research: epidemiologists and other medical scientists.</x:v>
      </x:c>
      <x:c r="K29" s="51" t="str"/>
      <x:c r="L29" s="12" t="str">
        <x:v>full</x:v>
      </x:c>
      <x:c r="M29" s="12" t="str">
        <x:v>None</x:v>
      </x:c>
      <x:c r="N29" s="14" t="n">
        <x:f>C29-E29</x:f>
        <x:v>0</x:v>
      </x:c>
    </x:row>
    <x:row r="30" ht="34.5" customHeight="1">
      <x:c r="A30" s="15" t="str">
        <x:v>220270</x:v>
      </x:c>
      <x:c r="B30" s="12" t="str">
        <x:v>Other life scientists</x:v>
      </x:c>
      <x:c r="C30" s="14" t="n">
        <x:v>509</x:v>
      </x:c>
      <x:c r="D30" s="12" t="str">
        <x:v>Exclude (no Work Values)</x:v>
      </x:c>
      <x:c r="E30" s="14" t="n">
        <x:v>0</x:v>
      </x:c>
      <x:c r="F30" s="15" t="str"/>
      <x:c r="G30" s="14" t="n">
        <x:v>1</x:v>
      </x:c>
      <x:c r="H30" s="14" t="n">
        <x:v>0</x:v>
      </x:c>
      <x:c r="I30" s="14" t="n">
        <x:v>0</x:v>
      </x:c>
      <x:c r="J30" s="12" t="str">
        <x:v>No Work Values for Life Scientists, All Other .00.</x:v>
      </x:c>
      <x:c r="K30" s="51" t="str"/>
      <x:c r="L30" s="12" t="str">
        <x:v>Not applicable</x:v>
      </x:c>
      <x:c r="M30" s="12" t="str">
        <x:v>None</x:v>
      </x:c>
      <x:c r="N30" s="14" t="n">
        <x:f>C30-E30</x:f>
        <x:v>509</x:v>
      </x:c>
    </x:row>
    <x:row r="31" ht="34.5" customHeight="1">
      <x:c r="A31" s="15" t="str">
        <x:v>230240</x:v>
      </x:c>
      <x:c r="B31" s="12" t="str">
        <x:v>Conservation scientists and foresters</x:v>
      </x:c>
      <x:c r="C31" s="14" t="n">
        <x:v>226</x:v>
      </x:c>
      <x:c r="D31" s="12" t="str">
        <x:v>Include</x:v>
      </x:c>
      <x:c r="E31" s="14" t="n">
        <x:v>226</x:v>
      </x:c>
      <x:c r="F31" s="15" t="str">
        <x:v>Group mean</x:v>
      </x:c>
      <x:c r="G31" s="14" t="n">
        <x:v>2</x:v>
      </x:c>
      <x:c r="H31" s="14" t="n">
        <x:v>2</x:v>
      </x:c>
      <x:c r="I31" s="14" t="n">
        <x:v>0</x:v>
      </x:c>
      <x:c r="J31" s="12" t="str">
        <x:v>Mean of conservation scientists and foresters.</x:v>
      </x:c>
      <x:c r="K31" s="51" t="str"/>
      <x:c r="L31" s="12" t="str">
        <x:v>full</x:v>
      </x:c>
      <x:c r="M31" s="12" t="str">
        <x:v>None</x:v>
      </x:c>
      <x:c r="N31" s="14" t="n">
        <x:f>C31-E31</x:f>
        <x:v>0</x:v>
      </x:c>
    </x:row>
    <x:row r="32" ht="34.5" customHeight="1">
      <x:c r="A32" s="15" t="str">
        <x:v>282710</x:v>
      </x:c>
      <x:c r="B32" s="12" t="str">
        <x:v>Postsecondary teachers - Agriculture</x:v>
      </x:c>
      <x:c r="C32" s="14" t="n">
        <x:v>52</x:v>
      </x:c>
      <x:c r="D32" s="12" t="str">
        <x:v>Include</x:v>
      </x:c>
      <x:c r="E32" s="14" t="n">
        <x:v>52</x:v>
      </x:c>
      <x:c r="F32" s="15" t="str">
        <x:v>25-1041.00</x:v>
      </x:c>
      <x:c r="G32" s="14" t="n">
        <x:v>1</x:v>
      </x:c>
      <x:c r="H32" s="14" t="n">
        <x:v>1</x:v>
      </x:c>
      <x:c r="I32" s="14" t="n">
        <x:v>0</x:v>
      </x:c>
      <x:c r="J32" s="12" t="str">
        <x:v>Use the subject-specific postsecondary teaching profile.</x:v>
      </x:c>
      <x:c r="K32" s="51" t="str"/>
      <x:c r="L32" s="12" t="str">
        <x:v>full</x:v>
      </x:c>
      <x:c r="M32" s="12" t="str">
        <x:v>None</x:v>
      </x:c>
      <x:c r="N32" s="14" t="n">
        <x:f>C32-E32</x:f>
        <x:v>0</x:v>
      </x:c>
    </x:row>
    <x:row r="33" ht="34.5" customHeight="1">
      <x:c r="A33" s="15" t="str">
        <x:v>282730</x:v>
      </x:c>
      <x:c r="B33" s="12" t="str">
        <x:v>Postsecondary teachers - Biological sciences</x:v>
      </x:c>
      <x:c r="C33" s="14" t="n">
        <x:v>360</x:v>
      </x:c>
      <x:c r="D33" s="12" t="str">
        <x:v>Include</x:v>
      </x:c>
      <x:c r="E33" s="14" t="n">
        <x:v>360</x:v>
      </x:c>
      <x:c r="F33" s="15" t="str">
        <x:v>25-1042.00</x:v>
      </x:c>
      <x:c r="G33" s="14" t="n">
        <x:v>1</x:v>
      </x:c>
      <x:c r="H33" s="14" t="n">
        <x:v>1</x:v>
      </x:c>
      <x:c r="I33" s="14" t="n">
        <x:v>0</x:v>
      </x:c>
      <x:c r="J33" s="12" t="str">
        <x:v>Use the subject-specific postsecondary teaching profile.</x:v>
      </x:c>
      <x:c r="K33" s="51" t="str"/>
      <x:c r="L33" s="12" t="str">
        <x:v>full</x:v>
      </x:c>
      <x:c r="M33" s="12" t="str">
        <x:v>None</x:v>
      </x:c>
      <x:c r="N33" s="14" t="n">
        <x:f>C33-E33</x:f>
        <x:v>0</x:v>
      </x:c>
    </x:row>
    <x:row r="34" ht="37.5" customHeight="1">
      <x:c r="A34" s="15" t="str">
        <x:v>282970</x:v>
      </x:c>
      <x:c r="B34" s="12" t="str">
        <x:v>Postsecondary teachers - Other life and physical sciences (e.g., conservation, etc.)</x:v>
      </x:c>
      <x:c r="C34" s="14" t="n">
        <x:v>45</x:v>
      </x:c>
      <x:c r="D34" s="12" t="str">
        <x:v>Include</x:v>
      </x:c>
      <x:c r="E34" s="14" t="n">
        <x:v>45</x:v>
      </x:c>
      <x:c r="F34" s="15" t="str">
        <x:v>25-1043.00</x:v>
      </x:c>
      <x:c r="G34" s="14" t="n">
        <x:v>1</x:v>
      </x:c>
      <x:c r="H34" s="14" t="n">
        <x:v>1</x:v>
      </x:c>
      <x:c r="I34" s="14" t="n">
        <x:v>0</x:v>
      </x:c>
      <x:c r="J34" s="12" t="str">
        <x:v>Forestry/conservation teaching represents the remaining life/physical-science teaching category; individual teaching fields are unknown.</x:v>
      </x:c>
      <x:c r="K34" s="51" t="str"/>
      <x:c r="L34" s="12" t="str">
        <x:v>full</x:v>
      </x:c>
      <x:c r="M34" s="12" t="str">
        <x:v>One profile for the residual group</x:v>
      </x:c>
      <x:c r="N34" s="14" t="n">
        <x:f>C34-E34</x:f>
        <x:v>0</x:v>
      </x:c>
    </x:row>
    <x:row r="35" ht="34.5" customHeight="1">
      <x:c r="A35" s="15" t="str">
        <x:v>311930</x:v>
      </x:c>
      <x:c r="B35" s="12" t="str">
        <x:v>Chemists, except biochemists</x:v>
      </x:c>
      <x:c r="C35" s="14" t="n">
        <x:v>962</x:v>
      </x:c>
      <x:c r="D35" s="12" t="str">
        <x:v>Include</x:v>
      </x:c>
      <x:c r="E35" s="14" t="n">
        <x:v>962</x:v>
      </x:c>
      <x:c r="F35" s="15" t="str">
        <x:v>19-2031.00</x:v>
      </x:c>
      <x:c r="G35" s="14" t="n">
        <x:v>1</x:v>
      </x:c>
      <x:c r="H35" s="14" t="n">
        <x:v>1</x:v>
      </x:c>
      <x:c r="I35" s="14" t="n">
        <x:v>0</x:v>
      </x:c>
      <x:c r="J35" s="12" t="str">
        <x:v>SOC Chemists also excludes biochemists and biophysicists.</x:v>
      </x:c>
      <x:c r="K35" s="51" t="str"/>
      <x:c r="L35" s="12" t="str">
        <x:v>full</x:v>
      </x:c>
      <x:c r="M35" s="12" t="str">
        <x:v>None</x:v>
      </x:c>
      <x:c r="N35" s="14" t="n">
        <x:f>C35-E35</x:f>
        <x:v>0</x:v>
      </x:c>
    </x:row>
    <x:row r="36" ht="34.5" customHeight="1">
      <x:c r="A36" s="15" t="str">
        <x:v>321920</x:v>
      </x:c>
      <x:c r="B36" s="12" t="str">
        <x:v>Atmospheric and space scientists</x:v>
      </x:c>
      <x:c r="C36" s="14" t="n">
        <x:v>119</x:v>
      </x:c>
      <x:c r="D36" s="12" t="str">
        <x:v>Include</x:v>
      </x:c>
      <x:c r="E36" s="14" t="n">
        <x:v>119</x:v>
      </x:c>
      <x:c r="F36" s="15" t="str">
        <x:v>19-2021.00</x:v>
      </x:c>
      <x:c r="G36" s="14" t="n">
        <x:v>1</x:v>
      </x:c>
      <x:c r="H36" s="14" t="n">
        <x:v>1</x:v>
      </x:c>
      <x:c r="I36" s="14" t="n">
        <x:v>0</x:v>
      </x:c>
      <x:c r="J36" s="12" t="str">
        <x:v>Occupation titles and scope align.</x:v>
      </x:c>
      <x:c r="K36" s="51" t="str"/>
      <x:c r="L36" s="12" t="str">
        <x:v>full</x:v>
      </x:c>
      <x:c r="M36" s="12" t="str">
        <x:v>None</x:v>
      </x:c>
      <x:c r="N36" s="14" t="n">
        <x:f>C36-E36</x:f>
        <x:v>0</x:v>
      </x:c>
    </x:row>
    <x:row r="37" ht="34.5" customHeight="1">
      <x:c r="A37" s="15" t="str">
        <x:v>321940</x:v>
      </x:c>
      <x:c r="B37" s="12" t="str">
        <x:v>Environmental scientists and specialists</x:v>
      </x:c>
      <x:c r="C37" s="14" t="n">
        <x:v>319</x:v>
      </x:c>
      <x:c r="D37" s="12" t="str">
        <x:v>Include</x:v>
      </x:c>
      <x:c r="E37" s="14" t="n">
        <x:v>319</x:v>
      </x:c>
      <x:c r="F37" s="15" t="str">
        <x:v>19-2041.00</x:v>
      </x:c>
      <x:c r="G37" s="14" t="n">
        <x:v>1</x:v>
      </x:c>
      <x:c r="H37" s="14" t="n">
        <x:v>1</x:v>
      </x:c>
      <x:c r="I37" s="14" t="n">
        <x:v>0</x:v>
      </x:c>
      <x:c r="J37" s="12" t="str">
        <x:v>Environmental science, pollution and environmental health scopes align.</x:v>
      </x:c>
      <x:c r="K37" s="51" t="str"/>
      <x:c r="L37" s="12" t="str">
        <x:v>full</x:v>
      </x:c>
      <x:c r="M37" s="12" t="str">
        <x:v>None</x:v>
      </x:c>
      <x:c r="N37" s="14" t="n">
        <x:f>C37-E37</x:f>
        <x:v>0</x:v>
      </x:c>
    </x:row>
    <x:row r="38" ht="34.5" customHeight="1">
      <x:c r="A38" s="15" t="str">
        <x:v>321950</x:v>
      </x:c>
      <x:c r="B38" s="12" t="str">
        <x:v>Geoscientists, including hydrologists and oceanographers</x:v>
      </x:c>
      <x:c r="C38" s="14" t="n">
        <x:v>219</x:v>
      </x:c>
      <x:c r="D38" s="12" t="str">
        <x:v>Include</x:v>
      </x:c>
      <x:c r="E38" s="14" t="n">
        <x:v>219</x:v>
      </x:c>
      <x:c r="F38" s="15" t="str">
        <x:v>Group mean</x:v>
      </x:c>
      <x:c r="G38" s="14" t="n">
        <x:v>2</x:v>
      </x:c>
      <x:c r="H38" s="14" t="n">
        <x:v>2</x:v>
      </x:c>
      <x:c r="I38" s="14" t="n">
        <x:v>0</x:v>
      </x:c>
      <x:c r="J38" s="12" t="str">
        <x:v>Mean of geoscientists, including oceanographers, and hydrologists.</x:v>
      </x:c>
      <x:c r="K38" s="51" t="str"/>
      <x:c r="L38" s="12" t="str">
        <x:v>full</x:v>
      </x:c>
      <x:c r="M38" s="12" t="str">
        <x:v>None</x:v>
      </x:c>
      <x:c r="N38" s="14" t="n">
        <x:f>C38-E38</x:f>
        <x:v>0</x:v>
      </x:c>
    </x:row>
    <x:row r="39" ht="34.5" customHeight="1">
      <x:c r="A39" s="15" t="str">
        <x:v>331960</x:v>
      </x:c>
      <x:c r="B39" s="12" t="str">
        <x:v>Physicists, except biophysicists</x:v>
      </x:c>
      <x:c r="C39" s="14" t="n">
        <x:v>240</x:v>
      </x:c>
      <x:c r="D39" s="12" t="str">
        <x:v>Include</x:v>
      </x:c>
      <x:c r="E39" s="14" t="n">
        <x:v>240</x:v>
      </x:c>
      <x:c r="F39" s="15" t="str">
        <x:v>19-2012.00</x:v>
      </x:c>
      <x:c r="G39" s="14" t="n">
        <x:v>1</x:v>
      </x:c>
      <x:c r="H39" s="14" t="n">
        <x:v>1</x:v>
      </x:c>
      <x:c r="I39" s="14" t="n">
        <x:v>0</x:v>
      </x:c>
      <x:c r="J39" s="12" t="str">
        <x:v>SOC Physicists also excludes biophysicists.</x:v>
      </x:c>
      <x:c r="K39" s="51" t="str"/>
      <x:c r="L39" s="12" t="str">
        <x:v>full</x:v>
      </x:c>
      <x:c r="M39" s="12" t="str">
        <x:v>None</x:v>
      </x:c>
      <x:c r="N39" s="14" t="n">
        <x:f>C39-E39</x:f>
        <x:v>0</x:v>
      </x:c>
    </x:row>
    <x:row r="40" ht="37.5" customHeight="1">
      <x:c r="A40" s="15" t="str">
        <x:v>341980</x:v>
      </x:c>
      <x:c r="B40" s="12" t="str">
        <x:v>Other physical scientists, including astronomersa</x:v>
      </x:c>
      <x:c r="C40" s="14" t="n">
        <x:v>236</x:v>
      </x:c>
      <x:c r="D40" s="12" t="str">
        <x:v>Include</x:v>
      </x:c>
      <x:c r="E40" s="14" t="n">
        <x:v>236</x:v>
      </x:c>
      <x:c r="F40" s="15" t="str">
        <x:v>Group mean</x:v>
      </x:c>
      <x:c r="G40" s="14" t="n">
        <x:v>3</x:v>
      </x:c>
      <x:c r="H40" s="14" t="n">
        <x:v>2</x:v>
      </x:c>
      <x:c r="I40" s="14" t="n">
        <x:v>0</x:v>
      </x:c>
      <x:c r="J40" s="12" t="str">
        <x:v>Remaining physical sciences: astronomy, materials science and other physical scientists.</x:v>
      </x:c>
      <x:c r="K40" s="51" t="str"/>
      <x:c r="L40" s="12" t="str">
        <x:v>partial</x:v>
      </x:c>
      <x:c r="M40" s="12" t="str">
        <x:v>Remaining occupation group</x:v>
      </x:c>
      <x:c r="N40" s="14" t="n">
        <x:f>C40-E40</x:f>
        <x:v>0</x:v>
      </x:c>
    </x:row>
    <x:row r="41" ht="34.5" customHeight="1">
      <x:c r="A41" s="15" t="str">
        <x:v>382750</x:v>
      </x:c>
      <x:c r="B41" s="12" t="str">
        <x:v>Postsecondary teachers - Chemistry</x:v>
      </x:c>
      <x:c r="C41" s="14" t="n">
        <x:v>162</x:v>
      </x:c>
      <x:c r="D41" s="12" t="str">
        <x:v>Include</x:v>
      </x:c>
      <x:c r="E41" s="14" t="n">
        <x:v>162</x:v>
      </x:c>
      <x:c r="F41" s="15" t="str">
        <x:v>25-1052.00</x:v>
      </x:c>
      <x:c r="G41" s="14" t="n">
        <x:v>1</x:v>
      </x:c>
      <x:c r="H41" s="14" t="n">
        <x:v>1</x:v>
      </x:c>
      <x:c r="I41" s="14" t="n">
        <x:v>0</x:v>
      </x:c>
      <x:c r="J41" s="12" t="str">
        <x:v>Use the subject-specific postsecondary teaching profile.</x:v>
      </x:c>
      <x:c r="K41" s="51" t="str"/>
      <x:c r="L41" s="12" t="str">
        <x:v>full</x:v>
      </x:c>
      <x:c r="M41" s="12" t="str">
        <x:v>None</x:v>
      </x:c>
      <x:c r="N41" s="14" t="n">
        <x:f>C41-E41</x:f>
        <x:v>0</x:v>
      </x:c>
    </x:row>
    <x:row r="42" ht="37.5" customHeight="1">
      <x:c r="A42" s="15" t="str">
        <x:v>382770</x:v>
      </x:c>
      <x:c r="B42" s="12" t="str">
        <x:v>Postsecondary teachers - Atmospheric, earth, environmental, marine, and space sciences</x:v>
      </x:c>
      <x:c r="C42" s="14" t="n">
        <x:v>74</x:v>
      </x:c>
      <x:c r="D42" s="12" t="str">
        <x:v>Include</x:v>
      </x:c>
      <x:c r="E42" s="14" t="n">
        <x:v>74</x:v>
      </x:c>
      <x:c r="F42" s="15" t="str">
        <x:v>Group mean</x:v>
      </x:c>
      <x:c r="G42" s="14" t="n">
        <x:v>2</x:v>
      </x:c>
      <x:c r="H42" s="14" t="n">
        <x:v>2</x:v>
      </x:c>
      <x:c r="I42" s="14" t="n">
        <x:v>0</x:v>
      </x:c>
      <x:c r="J42" s="12" t="str">
        <x:v>Mean of atmospheric/earth/marine/space-science and environmental-science teachers.</x:v>
      </x:c>
      <x:c r="K42" s="51" t="str"/>
      <x:c r="L42" s="12" t="str">
        <x:v>full</x:v>
      </x:c>
      <x:c r="M42" s="12" t="str">
        <x:v>None</x:v>
      </x:c>
      <x:c r="N42" s="14" t="n">
        <x:f>C42-E42</x:f>
        <x:v>0</x:v>
      </x:c>
    </x:row>
    <x:row r="43" ht="34.5" customHeight="1">
      <x:c r="A43" s="15" t="str">
        <x:v>382890</x:v>
      </x:c>
      <x:c r="B43" s="12" t="str">
        <x:v>Postsecondary teachers - Physics</x:v>
      </x:c>
      <x:c r="C43" s="14" t="n">
        <x:v>107</x:v>
      </x:c>
      <x:c r="D43" s="12" t="str">
        <x:v>Include</x:v>
      </x:c>
      <x:c r="E43" s="14" t="n">
        <x:v>107</x:v>
      </x:c>
      <x:c r="F43" s="15" t="str">
        <x:v>25-1054.00</x:v>
      </x:c>
      <x:c r="G43" s="14" t="n">
        <x:v>1</x:v>
      </x:c>
      <x:c r="H43" s="14" t="n">
        <x:v>1</x:v>
      </x:c>
      <x:c r="I43" s="14" t="n">
        <x:v>0</x:v>
      </x:c>
      <x:c r="J43" s="12" t="str">
        <x:v>Use the subject-specific postsecondary teaching profile.</x:v>
      </x:c>
      <x:c r="K43" s="51" t="str"/>
      <x:c r="L43" s="12" t="str">
        <x:v>full</x:v>
      </x:c>
      <x:c r="M43" s="12" t="str">
        <x:v>None</x:v>
      </x:c>
      <x:c r="N43" s="14" t="n">
        <x:f>C43-E43</x:f>
        <x:v>0</x:v>
      </x:c>
    </x:row>
    <x:row r="44" ht="34.5" customHeight="1">
      <x:c r="A44" s="15" t="str">
        <x:v>412320</x:v>
      </x:c>
      <x:c r="B44" s="12" t="str">
        <x:v>Economists</x:v>
      </x:c>
      <x:c r="C44" s="14" t="n">
        <x:v>352</x:v>
      </x:c>
      <x:c r="D44" s="12" t="str">
        <x:v>Include</x:v>
      </x:c>
      <x:c r="E44" s="14" t="n">
        <x:v>352</x:v>
      </x:c>
      <x:c r="F44" s="15" t="str">
        <x:v>19-3011.00</x:v>
      </x:c>
      <x:c r="G44" s="14" t="n">
        <x:v>1</x:v>
      </x:c>
      <x:c r="H44" s="14" t="n">
        <x:v>1</x:v>
      </x:c>
      <x:c r="I44" s="14" t="n">
        <x:v>0</x:v>
      </x:c>
      <x:c r="J44" s="12" t="str">
        <x:v>Use the rated .00 profile; omit detailed subtypes.</x:v>
      </x:c>
      <x:c r="K44" s="51" t="str"/>
      <x:c r="L44" s="12" t="str">
        <x:v>full</x:v>
      </x:c>
      <x:c r="M44" s="12" t="str">
        <x:v>None</x:v>
      </x:c>
      <x:c r="N44" s="14" t="n">
        <x:f>C44-E44</x:f>
        <x:v>0</x:v>
      </x:c>
    </x:row>
    <x:row r="45" ht="34.5" customHeight="1">
      <x:c r="A45" s="15" t="str">
        <x:v>422350</x:v>
      </x:c>
      <x:c r="B45" s="12" t="str">
        <x:v>Political scientists</x:v>
      </x:c>
      <x:c r="C45" s="14" t="n">
        <x:v>90</x:v>
      </x:c>
      <x:c r="D45" s="12" t="str">
        <x:v>Include</x:v>
      </x:c>
      <x:c r="E45" s="14" t="n">
        <x:v>90</x:v>
      </x:c>
      <x:c r="F45" s="15" t="str">
        <x:v>19-3094.00</x:v>
      </x:c>
      <x:c r="G45" s="14" t="n">
        <x:v>1</x:v>
      </x:c>
      <x:c r="H45" s="14" t="n">
        <x:v>1</x:v>
      </x:c>
      <x:c r="I45" s="14" t="n">
        <x:v>0</x:v>
      </x:c>
      <x:c r="J45" s="12" t="str">
        <x:v>Occupation titles and scope align.</x:v>
      </x:c>
      <x:c r="K45" s="51" t="str"/>
      <x:c r="L45" s="12" t="str">
        <x:v>full</x:v>
      </x:c>
      <x:c r="M45" s="12" t="str">
        <x:v>None</x:v>
      </x:c>
      <x:c r="N45" s="14" t="n">
        <x:f>C45-E45</x:f>
        <x:v>0</x:v>
      </x:c>
    </x:row>
    <x:row r="46" ht="50.25" customHeight="1">
      <x:c r="A46" s="15" t="str">
        <x:v>432360</x:v>
      </x:c>
      <x:c r="B46" s="12" t="str">
        <x:v>Psychologists - research and applied (e.g., industrial-organizational, experimental)b</x:v>
      </x:c>
      <x:c r="C46" s="14" t="n">
        <x:v>468</x:v>
      </x:c>
      <x:c r="D46" s="12" t="str">
        <x:v>Include</x:v>
      </x:c>
      <x:c r="E46" s="14" t="n">
        <x:v>468</x:v>
      </x:c>
      <x:c r="F46" s="15" t="str">
        <x:v>19-3032.00</x:v>
      </x:c>
      <x:c r="G46" s="14" t="n">
        <x:v>2</x:v>
      </x:c>
      <x:c r="H46" s="14" t="n">
        <x:v>1</x:v>
      </x:c>
      <x:c r="I46" s="14" t="n">
        <x:v>0</x:v>
      </x:c>
      <x:c r="J46" s="12" t="str">
        <x:v>Research/applied psychology is separate from health psychology. Only industrial-organizational psychologists have ratings; other psychologists are unrated.</x:v>
      </x:c>
      <x:c r="K46" s="51" t="str"/>
      <x:c r="L46" s="12" t="str">
        <x:v>partial</x:v>
      </x:c>
      <x:c r="M46" s="12" t="str">
        <x:v>Only one rated member</x:v>
      </x:c>
      <x:c r="N46" s="14" t="n">
        <x:f>C46-E46</x:f>
        <x:v>0</x:v>
      </x:c>
    </x:row>
    <x:row r="47" ht="34.5" customHeight="1">
      <x:c r="A47" s="15" t="str">
        <x:v>442310</x:v>
      </x:c>
      <x:c r="B47" s="12" t="str">
        <x:v>Anthropologists and archeologists</x:v>
      </x:c>
      <x:c r="C47" s="14" t="n">
        <x:v>122</x:v>
      </x:c>
      <x:c r="D47" s="12" t="str">
        <x:v>Include</x:v>
      </x:c>
      <x:c r="E47" s="14" t="n">
        <x:v>122</x:v>
      </x:c>
      <x:c r="F47" s="15" t="str">
        <x:v>19-3091.00</x:v>
      </x:c>
      <x:c r="G47" s="14" t="n">
        <x:v>1</x:v>
      </x:c>
      <x:c r="H47" s="14" t="n">
        <x:v>1</x:v>
      </x:c>
      <x:c r="I47" s="14" t="n">
        <x:v>0</x:v>
      </x:c>
      <x:c r="J47" s="12" t="str">
        <x:v>Occupation titles and scope align.</x:v>
      </x:c>
      <x:c r="K47" s="51" t="str"/>
      <x:c r="L47" s="12" t="str">
        <x:v>full</x:v>
      </x:c>
      <x:c r="M47" s="12" t="str">
        <x:v>None</x:v>
      </x:c>
      <x:c r="N47" s="14" t="n">
        <x:f>C47-E47</x:f>
        <x:v>0</x:v>
      </x:c>
    </x:row>
    <x:row r="48" ht="34.5" customHeight="1">
      <x:c r="A48" s="15" t="str">
        <x:v>442370</x:v>
      </x:c>
      <x:c r="B48" s="12" t="str">
        <x:v>Sociologists</x:v>
      </x:c>
      <x:c r="C48" s="14" t="n">
        <x:v>66</x:v>
      </x:c>
      <x:c r="D48" s="12" t="str">
        <x:v>Include</x:v>
      </x:c>
      <x:c r="E48" s="14" t="n">
        <x:v>66</x:v>
      </x:c>
      <x:c r="F48" s="15" t="str">
        <x:v>19-3041.00</x:v>
      </x:c>
      <x:c r="G48" s="14" t="n">
        <x:v>1</x:v>
      </x:c>
      <x:c r="H48" s="14" t="n">
        <x:v>1</x:v>
      </x:c>
      <x:c r="I48" s="14" t="n">
        <x:v>0</x:v>
      </x:c>
      <x:c r="J48" s="12" t="str">
        <x:v>Occupation titles and scope align.</x:v>
      </x:c>
      <x:c r="K48" s="51" t="str"/>
      <x:c r="L48" s="12" t="str">
        <x:v>full</x:v>
      </x:c>
      <x:c r="M48" s="12" t="str">
        <x:v>None</x:v>
      </x:c>
      <x:c r="N48" s="14" t="n">
        <x:f>C48-E48</x:f>
        <x:v>0</x:v>
      </x:c>
    </x:row>
    <x:row r="49" ht="50.25" customHeight="1">
      <x:c r="A49" s="15" t="str">
        <x:v>452380</x:v>
      </x:c>
      <x:c r="B49" s="12" t="str">
        <x:v>Other social scientists</x:v>
      </x:c>
      <x:c r="C49" s="14" t="n">
        <x:v>603</x:v>
      </x:c>
      <x:c r="D49" s="12" t="str">
        <x:v>Include</x:v>
      </x:c>
      <x:c r="E49" s="14" t="n">
        <x:v>603</x:v>
      </x:c>
      <x:c r="F49" s="15" t="str">
        <x:v>Group mean</x:v>
      </x:c>
      <x:c r="G49" s="14" t="n">
        <x:v>4</x:v>
      </x:c>
      <x:c r="H49" s="14" t="n">
        <x:v>3</x:v>
      </x:c>
      <x:c r="I49" s="14" t="n">
        <x:v>0</x:v>
      </x:c>
      <x:c r="J49" s="12" t="str">
        <x:v>Survey research, urban planning, geography and other social sciences; exclude general research assistants.</x:v>
      </x:c>
      <x:c r="K49" s="51" t="str"/>
      <x:c r="L49" s="12" t="str">
        <x:v>partial</x:v>
      </x:c>
      <x:c r="M49" s="12" t="str">
        <x:v>Remaining occupation group</x:v>
      </x:c>
      <x:c r="N49" s="14" t="n">
        <x:f>C49-E49</x:f>
        <x:v>0</x:v>
      </x:c>
    </x:row>
    <x:row r="50" ht="34.5" customHeight="1">
      <x:c r="A50" s="15" t="str">
        <x:v>482780</x:v>
      </x:c>
      <x:c r="B50" s="12" t="str">
        <x:v>Postsecondary teachers - Economics</x:v>
      </x:c>
      <x:c r="C50" s="14" t="n">
        <x:v>107</x:v>
      </x:c>
      <x:c r="D50" s="12" t="str">
        <x:v>Include</x:v>
      </x:c>
      <x:c r="E50" s="14" t="n">
        <x:v>107</x:v>
      </x:c>
      <x:c r="F50" s="15" t="str">
        <x:v>25-1063.00</x:v>
      </x:c>
      <x:c r="G50" s="14" t="n">
        <x:v>1</x:v>
      </x:c>
      <x:c r="H50" s="14" t="n">
        <x:v>1</x:v>
      </x:c>
      <x:c r="I50" s="14" t="n">
        <x:v>0</x:v>
      </x:c>
      <x:c r="J50" s="12" t="str">
        <x:v>Use the subject-specific postsecondary teaching profile.</x:v>
      </x:c>
      <x:c r="K50" s="51" t="str"/>
      <x:c r="L50" s="12" t="str">
        <x:v>full</x:v>
      </x:c>
      <x:c r="M50" s="12" t="str">
        <x:v>None</x:v>
      </x:c>
      <x:c r="N50" s="14" t="n">
        <x:f>C50-E50</x:f>
        <x:v>0</x:v>
      </x:c>
    </x:row>
    <x:row r="51" ht="34.5" customHeight="1">
      <x:c r="A51" s="15" t="str">
        <x:v>482900</x:v>
      </x:c>
      <x:c r="B51" s="12" t="str">
        <x:v>Postsecondary teachers - Political science</x:v>
      </x:c>
      <x:c r="C51" s="14" t="n">
        <x:v>68</x:v>
      </x:c>
      <x:c r="D51" s="12" t="str">
        <x:v>Include</x:v>
      </x:c>
      <x:c r="E51" s="14" t="n">
        <x:v>68</x:v>
      </x:c>
      <x:c r="F51" s="15" t="str">
        <x:v>25-1065.00</x:v>
      </x:c>
      <x:c r="G51" s="14" t="n">
        <x:v>1</x:v>
      </x:c>
      <x:c r="H51" s="14" t="n">
        <x:v>1</x:v>
      </x:c>
      <x:c r="I51" s="14" t="n">
        <x:v>0</x:v>
      </x:c>
      <x:c r="J51" s="12" t="str">
        <x:v>Use the subject-specific postsecondary teaching profile.</x:v>
      </x:c>
      <x:c r="K51" s="51" t="str"/>
      <x:c r="L51" s="12" t="str">
        <x:v>full</x:v>
      </x:c>
      <x:c r="M51" s="12" t="str">
        <x:v>None</x:v>
      </x:c>
      <x:c r="N51" s="14" t="n">
        <x:f>C51-E51</x:f>
        <x:v>0</x:v>
      </x:c>
    </x:row>
    <x:row r="52" ht="34.5" customHeight="1">
      <x:c r="A52" s="15" t="str">
        <x:v>482910</x:v>
      </x:c>
      <x:c r="B52" s="12" t="str">
        <x:v>Postsecondary teachers - Psychology</x:v>
      </x:c>
      <x:c r="C52" s="14" t="n">
        <x:v>150</x:v>
      </x:c>
      <x:c r="D52" s="12" t="str">
        <x:v>Include</x:v>
      </x:c>
      <x:c r="E52" s="14" t="n">
        <x:v>150</x:v>
      </x:c>
      <x:c r="F52" s="15" t="str">
        <x:v>25-1066.00</x:v>
      </x:c>
      <x:c r="G52" s="14" t="n">
        <x:v>1</x:v>
      </x:c>
      <x:c r="H52" s="14" t="n">
        <x:v>1</x:v>
      </x:c>
      <x:c r="I52" s="14" t="n">
        <x:v>0</x:v>
      </x:c>
      <x:c r="J52" s="12" t="str">
        <x:v>Use the subject-specific postsecondary teaching profile.</x:v>
      </x:c>
      <x:c r="K52" s="51" t="str"/>
      <x:c r="L52" s="12" t="str">
        <x:v>full</x:v>
      </x:c>
      <x:c r="M52" s="12" t="str">
        <x:v>None</x:v>
      </x:c>
      <x:c r="N52" s="14" t="n">
        <x:f>C52-E52</x:f>
        <x:v>0</x:v>
      </x:c>
    </x:row>
    <x:row r="53" ht="34.5" customHeight="1">
      <x:c r="A53" s="15" t="str">
        <x:v>482930</x:v>
      </x:c>
      <x:c r="B53" s="12" t="str">
        <x:v>Postsecondary teachers - Sociology</x:v>
      </x:c>
      <x:c r="C53" s="14" t="n">
        <x:v>62</x:v>
      </x:c>
      <x:c r="D53" s="12" t="str">
        <x:v>Include</x:v>
      </x:c>
      <x:c r="E53" s="14" t="n">
        <x:v>62</x:v>
      </x:c>
      <x:c r="F53" s="15" t="str">
        <x:v>25-1067.00</x:v>
      </x:c>
      <x:c r="G53" s="14" t="n">
        <x:v>1</x:v>
      </x:c>
      <x:c r="H53" s="14" t="n">
        <x:v>1</x:v>
      </x:c>
      <x:c r="I53" s="14" t="n">
        <x:v>0</x:v>
      </x:c>
      <x:c r="J53" s="12" t="str">
        <x:v>Use the subject-specific postsecondary teaching profile.</x:v>
      </x:c>
      <x:c r="K53" s="51" t="str"/>
      <x:c r="L53" s="12" t="str">
        <x:v>full</x:v>
      </x:c>
      <x:c r="M53" s="12" t="str">
        <x:v>None</x:v>
      </x:c>
      <x:c r="N53" s="14" t="n">
        <x:f>C53-E53</x:f>
        <x:v>0</x:v>
      </x:c>
    </x:row>
    <x:row r="54" ht="37.5" customHeight="1">
      <x:c r="A54" s="15" t="str">
        <x:v>482980</x:v>
      </x:c>
      <x:c r="B54" s="12" t="str">
        <x:v>Postsecondary teachers - Other social sciences</x:v>
      </x:c>
      <x:c r="C54" s="14" t="n">
        <x:v>245</x:v>
      </x:c>
      <x:c r="D54" s="12" t="str">
        <x:v>Include</x:v>
      </x:c>
      <x:c r="E54" s="14" t="n">
        <x:v>245</x:v>
      </x:c>
      <x:c r="F54" s="15" t="str">
        <x:v>Group mean</x:v>
      </x:c>
      <x:c r="G54" s="14" t="n">
        <x:v>4</x:v>
      </x:c>
      <x:c r="H54" s="14" t="n">
        <x:v>3</x:v>
      </x:c>
      <x:c r="I54" s="14" t="n">
        <x:v>0</x:v>
      </x:c>
      <x:c r="J54" s="12" t="str">
        <x:v>Anthropology/archeology, area/cultural studies, geography and other social-science teachers.</x:v>
      </x:c>
      <x:c r="K54" s="51" t="str"/>
      <x:c r="L54" s="12" t="str">
        <x:v>partial</x:v>
      </x:c>
      <x:c r="M54" s="12" t="str">
        <x:v>Remaining occupation group</x:v>
      </x:c>
      <x:c r="N54" s="14" t="n">
        <x:f>C54-E54</x:f>
        <x:v>0</x:v>
      </x:c>
    </x:row>
    <x:row r="55" ht="34.5" customHeight="1">
      <x:c r="A55" s="15" t="str">
        <x:v>510820</x:v>
      </x:c>
      <x:c r="B55" s="12" t="str">
        <x:v>Aeronautical, aerospace, and astronautical engineers</x:v>
      </x:c>
      <x:c r="C55" s="14" t="n">
        <x:v>679</x:v>
      </x:c>
      <x:c r="D55" s="12" t="str">
        <x:v>Include</x:v>
      </x:c>
      <x:c r="E55" s="14" t="n">
        <x:v>679</x:v>
      </x:c>
      <x:c r="F55" s="15" t="str">
        <x:v>17-2011.00</x:v>
      </x:c>
      <x:c r="G55" s="14" t="n">
        <x:v>1</x:v>
      </x:c>
      <x:c r="H55" s="14" t="n">
        <x:v>1</x:v>
      </x:c>
      <x:c r="I55" s="14" t="n">
        <x:v>0</x:v>
      </x:c>
      <x:c r="J55" s="12" t="str">
        <x:v>Aerospace Engineers includes aeronautical and astronautical engineering.</x:v>
      </x:c>
      <x:c r="K55" s="51" t="str"/>
      <x:c r="L55" s="12" t="str">
        <x:v>full</x:v>
      </x:c>
      <x:c r="M55" s="12" t="str">
        <x:v>None</x:v>
      </x:c>
      <x:c r="N55" s="14" t="n">
        <x:f>C55-E55</x:f>
        <x:v>0</x:v>
      </x:c>
    </x:row>
    <x:row r="56" ht="34.5" customHeight="1">
      <x:c r="A56" s="15" t="str">
        <x:v>520850</x:v>
      </x:c>
      <x:c r="B56" s="12" t="str">
        <x:v>Chemical engineers</x:v>
      </x:c>
      <x:c r="C56" s="14" t="n">
        <x:v>579</x:v>
      </x:c>
      <x:c r="D56" s="12" t="str">
        <x:v>Include</x:v>
      </x:c>
      <x:c r="E56" s="14" t="n">
        <x:v>579</x:v>
      </x:c>
      <x:c r="F56" s="15" t="str">
        <x:v>17-2041.00</x:v>
      </x:c>
      <x:c r="G56" s="14" t="n">
        <x:v>1</x:v>
      </x:c>
      <x:c r="H56" s="14" t="n">
        <x:v>1</x:v>
      </x:c>
      <x:c r="I56" s="14" t="n">
        <x:v>0</x:v>
      </x:c>
      <x:c r="J56" s="12" t="str">
        <x:v>Occupation titles and scope align.</x:v>
      </x:c>
      <x:c r="K56" s="51" t="str"/>
      <x:c r="L56" s="12" t="str">
        <x:v>full</x:v>
      </x:c>
      <x:c r="M56" s="12" t="str">
        <x:v>None</x:v>
      </x:c>
      <x:c r="N56" s="14" t="n">
        <x:f>C56-E56</x:f>
        <x:v>0</x:v>
      </x:c>
    </x:row>
    <x:row r="57" ht="34.5" customHeight="1">
      <x:c r="A57" s="15" t="str">
        <x:v>530860</x:v>
      </x:c>
      <x:c r="B57" s="12" t="str">
        <x:v>Civil engineers, including architectural and sanitary</x:v>
      </x:c>
      <x:c r="C57" s="14" t="n">
        <x:v>1429</x:v>
      </x:c>
      <x:c r="D57" s="12" t="str">
        <x:v>Include</x:v>
      </x:c>
      <x:c r="E57" s="14" t="n">
        <x:v>1429</x:v>
      </x:c>
      <x:c r="F57" s="15" t="str">
        <x:v>17-2051.00</x:v>
      </x:c>
      <x:c r="G57" s="14" t="n">
        <x:v>1</x:v>
      </x:c>
      <x:c r="H57" s="14" t="n">
        <x:v>1</x:v>
      </x:c>
      <x:c r="I57" s="14" t="n">
        <x:v>0</x:v>
      </x:c>
      <x:c r="J57" s="12" t="str">
        <x:v>Civil Engineers includes architectural engineering and water/sewer facilities.</x:v>
      </x:c>
      <x:c r="K57" s="51" t="str"/>
      <x:c r="L57" s="12" t="str">
        <x:v>full</x:v>
      </x:c>
      <x:c r="M57" s="12" t="str">
        <x:v>None</x:v>
      </x:c>
      <x:c r="N57" s="14" t="n">
        <x:f>C57-E57</x:f>
        <x:v>0</x:v>
      </x:c>
    </x:row>
    <x:row r="58" ht="34.5" customHeight="1">
      <x:c r="A58" s="15" t="str">
        <x:v>540870</x:v>
      </x:c>
      <x:c r="B58" s="12" t="str">
        <x:v>Computer engineers, hardware</x:v>
      </x:c>
      <x:c r="C58" s="14" t="n">
        <x:v>436</x:v>
      </x:c>
      <x:c r="D58" s="12" t="str">
        <x:v>Include</x:v>
      </x:c>
      <x:c r="E58" s="14" t="n">
        <x:v>436</x:v>
      </x:c>
      <x:c r="F58" s="15" t="str">
        <x:v>17-2061.00</x:v>
      </x:c>
      <x:c r="G58" s="14" t="n">
        <x:v>1</x:v>
      </x:c>
      <x:c r="H58" s="14" t="n">
        <x:v>1</x:v>
      </x:c>
      <x:c r="I58" s="14" t="n">
        <x:v>0</x:v>
      </x:c>
      <x:c r="J58" s="12" t="str">
        <x:v>Both titles specify computer hardware; word order differs.</x:v>
      </x:c>
      <x:c r="K58" s="51" t="str"/>
      <x:c r="L58" s="12" t="str">
        <x:v>full</x:v>
      </x:c>
      <x:c r="M58" s="12" t="str">
        <x:v>None</x:v>
      </x:c>
      <x:c r="N58" s="14" t="n">
        <x:f>C58-E58</x:f>
        <x:v>0</x:v>
      </x:c>
    </x:row>
    <x:row r="59" ht="34.5" customHeight="1">
      <x:c r="A59" s="15" t="str">
        <x:v>540890</x:v>
      </x:c>
      <x:c r="B59" s="12" t="str">
        <x:v>Electrical and electronics engineers</x:v>
      </x:c>
      <x:c r="C59" s="14" t="n">
        <x:v>1916</x:v>
      </x:c>
      <x:c r="D59" s="12" t="str">
        <x:v>Include</x:v>
      </x:c>
      <x:c r="E59" s="14" t="n">
        <x:v>1916</x:v>
      </x:c>
      <x:c r="F59" s="15" t="str">
        <x:v>Group mean</x:v>
      </x:c>
      <x:c r="G59" s="14" t="n">
        <x:v>2</x:v>
      </x:c>
      <x:c r="H59" s="14" t="n">
        <x:v>2</x:v>
      </x:c>
      <x:c r="I59" s="14" t="n">
        <x:v>0</x:v>
      </x:c>
      <x:c r="J59" s="12" t="str">
        <x:v>Mean of electrical and electronics engineers; exclude computer hardware engineers.</x:v>
      </x:c>
      <x:c r="K59" s="51" t="str"/>
      <x:c r="L59" s="12" t="str">
        <x:v>full</x:v>
      </x:c>
      <x:c r="M59" s="12" t="str">
        <x:v>None</x:v>
      </x:c>
      <x:c r="N59" s="14" t="n">
        <x:f>C59-E59</x:f>
        <x:v>0</x:v>
      </x:c>
    </x:row>
    <x:row r="60" ht="34.5" customHeight="1">
      <x:c r="A60" s="15" t="str">
        <x:v>550910</x:v>
      </x:c>
      <x:c r="B60" s="12" t="str">
        <x:v>Industrial engineers, including health and safety</x:v>
      </x:c>
      <x:c r="C60" s="14" t="n">
        <x:v>336</x:v>
      </x:c>
      <x:c r="D60" s="12" t="str">
        <x:v>Include</x:v>
      </x:c>
      <x:c r="E60" s="14" t="n">
        <x:v>336</x:v>
      </x:c>
      <x:c r="F60" s="15" t="str">
        <x:v>Group mean</x:v>
      </x:c>
      <x:c r="G60" s="14" t="n">
        <x:v>2</x:v>
      </x:c>
      <x:c r="H60" s="14" t="n">
        <x:v>2</x:v>
      </x:c>
      <x:c r="I60" s="14" t="n">
        <x:v>0</x:v>
      </x:c>
      <x:c r="J60" s="12" t="str">
        <x:v>Mean of industrial and health/safety engineers.</x:v>
      </x:c>
      <x:c r="K60" s="51" t="str"/>
      <x:c r="L60" s="12" t="str">
        <x:v>full</x:v>
      </x:c>
      <x:c r="M60" s="12" t="str">
        <x:v>None</x:v>
      </x:c>
      <x:c r="N60" s="14" t="n">
        <x:f>C60-E60</x:f>
        <x:v>0</x:v>
      </x:c>
    </x:row>
    <x:row r="61" ht="34.5" customHeight="1">
      <x:c r="A61" s="15" t="str">
        <x:v>560940</x:v>
      </x:c>
      <x:c r="B61" s="12" t="str">
        <x:v>Mechanical engineers</x:v>
      </x:c>
      <x:c r="C61" s="14" t="n">
        <x:v>2106</x:v>
      </x:c>
      <x:c r="D61" s="12" t="str">
        <x:v>Include</x:v>
      </x:c>
      <x:c r="E61" s="14" t="n">
        <x:v>2106</x:v>
      </x:c>
      <x:c r="F61" s="15" t="str">
        <x:v>17-2141.00</x:v>
      </x:c>
      <x:c r="G61" s="14" t="n">
        <x:v>1</x:v>
      </x:c>
      <x:c r="H61" s="14" t="n">
        <x:v>1</x:v>
      </x:c>
      <x:c r="I61" s="14" t="n">
        <x:v>0</x:v>
      </x:c>
      <x:c r="J61" s="12" t="str">
        <x:v>Use the rated .00 profile; omit detailed subtypes.</x:v>
      </x:c>
      <x:c r="K61" s="51" t="str"/>
      <x:c r="L61" s="12" t="str">
        <x:v>full</x:v>
      </x:c>
      <x:c r="M61" s="12" t="str">
        <x:v>None</x:v>
      </x:c>
      <x:c r="N61" s="14" t="n">
        <x:f>C61-E61</x:f>
        <x:v>0</x:v>
      </x:c>
    </x:row>
    <x:row r="62" ht="34.5" customHeight="1">
      <x:c r="A62" s="15" t="str">
        <x:v>570840</x:v>
      </x:c>
      <x:c r="B62" s="12" t="str">
        <x:v>Bioengineers and biomedical engineers</x:v>
      </x:c>
      <x:c r="C62" s="14" t="n">
        <x:v>278</x:v>
      </x:c>
      <x:c r="D62" s="12" t="str">
        <x:v>Include</x:v>
      </x:c>
      <x:c r="E62" s="14" t="n">
        <x:v>278</x:v>
      </x:c>
      <x:c r="F62" s="15" t="str">
        <x:v>17-2031.00</x:v>
      </x:c>
      <x:c r="G62" s="14" t="n">
        <x:v>1</x:v>
      </x:c>
      <x:c r="H62" s="14" t="n">
        <x:v>1</x:v>
      </x:c>
      <x:c r="I62" s="14" t="n">
        <x:v>0</x:v>
      </x:c>
      <x:c r="J62" s="12" t="str">
        <x:v>Current .00 titles align; the earlier crosswalk uses Biomedical Engineers.</x:v>
      </x:c>
      <x:c r="K62" s="51" t="str"/>
      <x:c r="L62" s="12" t="str">
        <x:v>full</x:v>
      </x:c>
      <x:c r="M62" s="12" t="str">
        <x:v>None</x:v>
      </x:c>
      <x:c r="N62" s="14" t="n">
        <x:f>C62-E62</x:f>
        <x:v>0</x:v>
      </x:c>
    </x:row>
    <x:row r="63" ht="34.5" customHeight="1">
      <x:c r="A63" s="15" t="str">
        <x:v>570900</x:v>
      </x:c>
      <x:c r="B63" s="12" t="str">
        <x:v>Environmental engineers</x:v>
      </x:c>
      <x:c r="C63" s="14" t="n">
        <x:v>249</x:v>
      </x:c>
      <x:c r="D63" s="12" t="str">
        <x:v>Include</x:v>
      </x:c>
      <x:c r="E63" s="14" t="n">
        <x:v>249</x:v>
      </x:c>
      <x:c r="F63" s="15" t="str">
        <x:v>17-2081.00</x:v>
      </x:c>
      <x:c r="G63" s="14" t="n">
        <x:v>1</x:v>
      </x:c>
      <x:c r="H63" s="14" t="n">
        <x:v>1</x:v>
      </x:c>
      <x:c r="I63" s="14" t="n">
        <x:v>0</x:v>
      </x:c>
      <x:c r="J63" s="12" t="str">
        <x:v>Occupation titles and scope align.</x:v>
      </x:c>
      <x:c r="K63" s="51" t="str"/>
      <x:c r="L63" s="12" t="str">
        <x:v>full</x:v>
      </x:c>
      <x:c r="M63" s="12" t="str">
        <x:v>None</x:v>
      </x:c>
      <x:c r="N63" s="14" t="n">
        <x:f>C63-E63</x:f>
        <x:v>0</x:v>
      </x:c>
    </x:row>
    <x:row r="64" ht="34.5" customHeight="1">
      <x:c r="A64" s="15" t="str">
        <x:v>570920</x:v>
      </x:c>
      <x:c r="B64" s="12" t="str">
        <x:v>Marine engineers and naval architects</x:v>
      </x:c>
      <x:c r="C64" s="14" t="n">
        <x:v>38</x:v>
      </x:c>
      <x:c r="D64" s="12" t="str">
        <x:v>Include</x:v>
      </x:c>
      <x:c r="E64" s="14" t="n">
        <x:v>38</x:v>
      </x:c>
      <x:c r="F64" s="15" t="str">
        <x:v>17-2121.00</x:v>
      </x:c>
      <x:c r="G64" s="14" t="n">
        <x:v>1</x:v>
      </x:c>
      <x:c r="H64" s="14" t="n">
        <x:v>1</x:v>
      </x:c>
      <x:c r="I64" s="14" t="n">
        <x:v>0</x:v>
      </x:c>
      <x:c r="J64" s="12" t="str">
        <x:v>Occupation titles and scope align.</x:v>
      </x:c>
      <x:c r="K64" s="51" t="str"/>
      <x:c r="L64" s="12" t="str">
        <x:v>full</x:v>
      </x:c>
      <x:c r="M64" s="12" t="str">
        <x:v>None</x:v>
      </x:c>
      <x:c r="N64" s="14" t="n">
        <x:f>C64-E64</x:f>
        <x:v>0</x:v>
      </x:c>
    </x:row>
    <x:row r="65" ht="34.5" customHeight="1">
      <x:c r="A65" s="15" t="str">
        <x:v>570930</x:v>
      </x:c>
      <x:c r="B65" s="12" t="str">
        <x:v>Materials engineers</x:v>
      </x:c>
      <x:c r="C65" s="14" t="n">
        <x:v>246</x:v>
      </x:c>
      <x:c r="D65" s="12" t="str">
        <x:v>Include</x:v>
      </x:c>
      <x:c r="E65" s="14" t="n">
        <x:v>246</x:v>
      </x:c>
      <x:c r="F65" s="15" t="str">
        <x:v>17-2131.00</x:v>
      </x:c>
      <x:c r="G65" s="14" t="n">
        <x:v>1</x:v>
      </x:c>
      <x:c r="H65" s="14" t="n">
        <x:v>1</x:v>
      </x:c>
      <x:c r="I65" s="14" t="n">
        <x:v>0</x:v>
      </x:c>
      <x:c r="J65" s="12" t="str">
        <x:v>Occupation titles and scope align.</x:v>
      </x:c>
      <x:c r="K65" s="51" t="str"/>
      <x:c r="L65" s="12" t="str">
        <x:v>full</x:v>
      </x:c>
      <x:c r="M65" s="12" t="str">
        <x:v>None</x:v>
      </x:c>
      <x:c r="N65" s="14" t="n">
        <x:f>C65-E65</x:f>
        <x:v>0</x:v>
      </x:c>
    </x:row>
    <x:row r="66" ht="37.5" customHeight="1">
      <x:c r="A66" s="15" t="str">
        <x:v>570950</x:v>
      </x:c>
      <x:c r="B66" s="12" t="str">
        <x:v>Mining and geological engineers, including mining safety engineers</x:v>
      </x:c>
      <x:c r="C66" s="14" t="n">
        <x:v>33</x:v>
      </x:c>
      <x:c r="D66" s="12" t="str">
        <x:v>Include</x:v>
      </x:c>
      <x:c r="E66" s="14" t="n">
        <x:v>33</x:v>
      </x:c>
      <x:c r="F66" s="15" t="str">
        <x:v>17-2151.00</x:v>
      </x:c>
      <x:c r="G66" s="14" t="n">
        <x:v>1</x:v>
      </x:c>
      <x:c r="H66" s="14" t="n">
        <x:v>1</x:v>
      </x:c>
      <x:c r="I66" s="14" t="n">
        <x:v>0</x:v>
      </x:c>
      <x:c r="J66" s="12" t="str">
        <x:v>Occupation titles and scope align.</x:v>
      </x:c>
      <x:c r="K66" s="51" t="str"/>
      <x:c r="L66" s="12" t="str">
        <x:v>full</x:v>
      </x:c>
      <x:c r="M66" s="12" t="str">
        <x:v>None</x:v>
      </x:c>
      <x:c r="N66" s="14" t="n">
        <x:f>C66-E66</x:f>
        <x:v>0</x:v>
      </x:c>
    </x:row>
    <x:row r="67" ht="34.5" customHeight="1">
      <x:c r="A67" s="15" t="str">
        <x:v>570960</x:v>
      </x:c>
      <x:c r="B67" s="12" t="str">
        <x:v>Nuclear engineers</x:v>
      </x:c>
      <x:c r="C67" s="14" t="n">
        <x:v>94</x:v>
      </x:c>
      <x:c r="D67" s="12" t="str">
        <x:v>Include</x:v>
      </x:c>
      <x:c r="E67" s="14" t="n">
        <x:v>94</x:v>
      </x:c>
      <x:c r="F67" s="15" t="str">
        <x:v>17-2161.00</x:v>
      </x:c>
      <x:c r="G67" s="14" t="n">
        <x:v>1</x:v>
      </x:c>
      <x:c r="H67" s="14" t="n">
        <x:v>1</x:v>
      </x:c>
      <x:c r="I67" s="14" t="n">
        <x:v>0</x:v>
      </x:c>
      <x:c r="J67" s="12" t="str">
        <x:v>Occupation titles and scope align.</x:v>
      </x:c>
      <x:c r="K67" s="51" t="str"/>
      <x:c r="L67" s="12" t="str">
        <x:v>full</x:v>
      </x:c>
      <x:c r="M67" s="12" t="str">
        <x:v>None</x:v>
      </x:c>
      <x:c r="N67" s="14" t="n">
        <x:f>C67-E67</x:f>
        <x:v>0</x:v>
      </x:c>
    </x:row>
    <x:row r="68" ht="34.5" customHeight="1">
      <x:c r="A68" s="15" t="str">
        <x:v>570970</x:v>
      </x:c>
      <x:c r="B68" s="12" t="str">
        <x:v>Petroleum engineers</x:v>
      </x:c>
      <x:c r="C68" s="14" t="n">
        <x:v>72</x:v>
      </x:c>
      <x:c r="D68" s="12" t="str">
        <x:v>Include</x:v>
      </x:c>
      <x:c r="E68" s="14" t="n">
        <x:v>72</x:v>
      </x:c>
      <x:c r="F68" s="15" t="str">
        <x:v>17-2171.00</x:v>
      </x:c>
      <x:c r="G68" s="14" t="n">
        <x:v>1</x:v>
      </x:c>
      <x:c r="H68" s="14" t="n">
        <x:v>1</x:v>
      </x:c>
      <x:c r="I68" s="14" t="n">
        <x:v>0</x:v>
      </x:c>
      <x:c r="J68" s="12" t="str">
        <x:v>Occupation titles and scope align.</x:v>
      </x:c>
      <x:c r="K68" s="51" t="str"/>
      <x:c r="L68" s="12" t="str">
        <x:v>full</x:v>
      </x:c>
      <x:c r="M68" s="12" t="str">
        <x:v>None</x:v>
      </x:c>
      <x:c r="N68" s="14" t="n">
        <x:f>C68-E68</x:f>
        <x:v>0</x:v>
      </x:c>
    </x:row>
    <x:row r="69" ht="34.5" customHeight="1">
      <x:c r="A69" s="15" t="str">
        <x:v>570980</x:v>
      </x:c>
      <x:c r="B69" s="12" t="str">
        <x:v>Sales engineers</x:v>
      </x:c>
      <x:c r="C69" s="14" t="n">
        <x:v>314</x:v>
      </x:c>
      <x:c r="D69" s="12" t="str">
        <x:v>Include</x:v>
      </x:c>
      <x:c r="E69" s="14" t="n">
        <x:v>223</x:v>
      </x:c>
      <x:c r="F69" s="15" t="str">
        <x:v>41-9031.00</x:v>
      </x:c>
      <x:c r="G69" s="14" t="n">
        <x:v>1</x:v>
      </x:c>
      <x:c r="H69" s="14" t="n">
        <x:v>1</x:v>
      </x:c>
      <x:c r="I69" s="14" t="n">
        <x:v>91</x:v>
      </x:c>
      <x:c r="J69" s="12" t="str">
        <x:v>Require SUPWK=N; exclude 91 respondents who do not meet this condition.</x:v>
      </x:c>
      <x:c r="K69" s="51" t="str"/>
      <x:c r="L69" s="12" t="str">
        <x:v>full</x:v>
      </x:c>
      <x:c r="M69" s="12" t="str">
        <x:v>None</x:v>
      </x:c>
      <x:c r="N69" s="14" t="n">
        <x:f>C69-E69</x:f>
        <x:v>91</x:v>
      </x:c>
    </x:row>
    <x:row r="70" ht="37.5" customHeight="1">
      <x:c r="A70" s="15" t="str">
        <x:v>570990</x:v>
      </x:c>
      <x:c r="B70" s="12" t="str">
        <x:v>Other engineers, including agriculturalc</x:v>
      </x:c>
      <x:c r="C70" s="14" t="n">
        <x:v>806</x:v>
      </x:c>
      <x:c r="D70" s="12" t="str">
        <x:v>Include</x:v>
      </x:c>
      <x:c r="E70" s="14" t="n">
        <x:v>806</x:v>
      </x:c>
      <x:c r="F70" s="15" t="str">
        <x:v>17-2021.00</x:v>
      </x:c>
      <x:c r="G70" s="14" t="n">
        <x:v>2</x:v>
      </x:c>
      <x:c r="H70" s="14" t="n">
        <x:v>1</x:v>
      </x:c>
      <x:c r="I70" s="14" t="n">
        <x:v>0</x:v>
      </x:c>
      <x:c r="J70" s="12" t="str">
        <x:v>Agricultural and other engineers; only agricultural engineers have ratings.</x:v>
      </x:c>
      <x:c r="K70" s="51" t="str"/>
      <x:c r="L70" s="12" t="str">
        <x:v>partial</x:v>
      </x:c>
      <x:c r="M70" s="12" t="str">
        <x:v>Only one rated member</x:v>
      </x:c>
      <x:c r="N70" s="14" t="n">
        <x:f>C70-E70</x:f>
        <x:v>0</x:v>
      </x:c>
    </x:row>
    <x:row r="71" ht="34.5" customHeight="1">
      <x:c r="A71" s="15" t="str">
        <x:v>582800</x:v>
      </x:c>
      <x:c r="B71" s="12" t="str">
        <x:v>Postsecondary teachers - Engineering</x:v>
      </x:c>
      <x:c r="C71" s="14" t="n">
        <x:v>294</x:v>
      </x:c>
      <x:c r="D71" s="12" t="str">
        <x:v>Include</x:v>
      </x:c>
      <x:c r="E71" s="14" t="n">
        <x:v>294</x:v>
      </x:c>
      <x:c r="F71" s="15" t="str">
        <x:v>25-1032.00</x:v>
      </x:c>
      <x:c r="G71" s="14" t="n">
        <x:v>1</x:v>
      </x:c>
      <x:c r="H71" s="14" t="n">
        <x:v>1</x:v>
      </x:c>
      <x:c r="I71" s="14" t="n">
        <x:v>0</x:v>
      </x:c>
      <x:c r="J71" s="12" t="str">
        <x:v>Use the subject-specific postsecondary teaching profile.</x:v>
      </x:c>
      <x:c r="K71" s="51" t="str"/>
      <x:c r="L71" s="12" t="str">
        <x:v>full</x:v>
      </x:c>
      <x:c r="M71" s="12" t="str">
        <x:v>None</x:v>
      </x:c>
      <x:c r="N71" s="14" t="n">
        <x:f>C71-E71</x:f>
        <x:v>0</x:v>
      </x:c>
    </x:row>
    <x:row r="72" ht="50.25" customHeight="1">
      <x:c r="A72" s="15" t="str">
        <x:v>611110</x:v>
      </x:c>
      <x:c r="B72" s="12" t="str">
        <x:v>Diagnosing/treating practitioners (e.g., dentists, optometrists, physicians, psychiatrists, podiatrists, surgeons, veterinarians) </x:v>
      </x:c>
      <x:c r="C72" s="14" t="n">
        <x:v>1564</x:v>
      </x:c>
      <x:c r="D72" s="12" t="str">
        <x:v>Include</x:v>
      </x:c>
      <x:c r="E72" s="14" t="n">
        <x:v>1564</x:v>
      </x:c>
      <x:c r="F72" s="15" t="str">
        <x:v>Group mean</x:v>
      </x:c>
      <x:c r="G72" s="14" t="n">
        <x:v>29</x:v>
      </x:c>
      <x:c r="H72" s="14" t="n">
        <x:v>21</x:v>
      </x:c>
      <x:c r="I72" s="14" t="n">
        <x:v>0</x:v>
      </x:c>
      <x:c r="J72" s="12" t="str">
        <x:v>Diagnosing/treating group excludes separately listed nursing, pharmacy, therapy and dental hygiene; audiologists are assigned here.</x:v>
      </x:c>
      <x:c r="K72" s="51" t="str"/>
      <x:c r="L72" s="12" t="str">
        <x:v>partial</x:v>
      </x:c>
      <x:c r="M72" s="12" t="str">
        <x:v>Audiologists in diagnosing/treating</x:v>
      </x:c>
      <x:c r="N72" s="14" t="n">
        <x:f>C72-E72</x:f>
        <x:v>0</x:v>
      </x:c>
    </x:row>
    <x:row r="73" ht="50.25" customHeight="1">
      <x:c r="A73" s="15" t="str">
        <x:v>611120</x:v>
      </x:c>
      <x:c r="B73" s="12" t="str">
        <x:v>Registered nurses, pharmacists, dieticians, therapists, physician assistants, nurse practitioners</x:v>
      </x:c>
      <x:c r="C73" s="14" t="n">
        <x:v>4048</x:v>
      </x:c>
      <x:c r="D73" s="12" t="str">
        <x:v>Include</x:v>
      </x:c>
      <x:c r="E73" s="14" t="n">
        <x:v>4048</x:v>
      </x:c>
      <x:c r="F73" s="15" t="str">
        <x:v>Group mean</x:v>
      </x:c>
      <x:c r="G73" s="14" t="n">
        <x:v>15</x:v>
      </x:c>
      <x:c r="H73" s="14" t="n">
        <x:v>14</x:v>
      </x:c>
      <x:c r="I73" s="14" t="n">
        <x:v>0</x:v>
      </x:c>
      <x:c r="J73" s="12" t="str">
        <x:v>Nursing, pharmacy, dietetics, therapy, physician assistants and nurse practitioners, including nurse anesthetists and midwives. Audiologists use 611110.</x:v>
      </x:c>
      <x:c r="K73" s="51" t="str"/>
      <x:c r="L73" s="12" t="str">
        <x:v>partial</x:v>
      </x:c>
      <x:c r="M73" s="12" t="str">
        <x:v>Audiologists in diagnosing/treating</x:v>
      </x:c>
      <x:c r="N73" s="14" t="n">
        <x:f>C73-E73</x:f>
        <x:v>0</x:v>
      </x:c>
    </x:row>
    <x:row r="74" ht="63" customHeight="1">
      <x:c r="A74" s="15" t="str">
        <x:v>611130</x:v>
      </x:c>
      <x:c r="B74" s="12" t="str">
        <x:v>Health technologists and technicians (e.g., dental hygienists, health record technologists/technicians, licensed practical nurses, medical or laboratory technicians, radiological technicians)</x:v>
      </x:c>
      <x:c r="C74" s="14" t="n">
        <x:v>999</x:v>
      </x:c>
      <x:c r="D74" s="12" t="str">
        <x:v>Include</x:v>
      </x:c>
      <x:c r="E74" s="14" t="n">
        <x:v>999</x:v>
      </x:c>
      <x:c r="F74" s="15" t="str">
        <x:v>Group mean</x:v>
      </x:c>
      <x:c r="G74" s="14" t="n">
        <x:v>24</x:v>
      </x:c>
      <x:c r="H74" s="14" t="n">
        <x:v>18</x:v>
      </x:c>
      <x:c r="I74" s="14" t="n">
        <x:v>0</x:v>
      </x:c>
      <x:c r="J74" s="12" t="str">
        <x:v>Health technical roles named by NSCG, including dental hygiene, laboratory, medical records and health information jobs.</x:v>
      </x:c>
      <x:c r="K74" s="51" t="str"/>
      <x:c r="L74" s="12" t="str">
        <x:v>partial</x:v>
      </x:c>
      <x:c r="M74" s="12" t="str">
        <x:v>None</x:v>
      </x:c>
      <x:c r="N74" s="14" t="n">
        <x:f>C74-E74</x:f>
        <x:v>0</x:v>
      </x:c>
    </x:row>
    <x:row r="75" ht="50.25" customHeight="1">
      <x:c r="A75" s="15" t="str">
        <x:v>611140</x:v>
      </x:c>
      <x:c r="B75" s="12" t="str">
        <x:v>Other health occupations</x:v>
      </x:c>
      <x:c r="C75" s="14" t="n">
        <x:v>1754</x:v>
      </x:c>
      <x:c r="D75" s="12" t="str">
        <x:v>Include</x:v>
      </x:c>
      <x:c r="E75" s="14" t="n">
        <x:v>1754</x:v>
      </x:c>
      <x:c r="F75" s="15" t="str">
        <x:v>Group mean</x:v>
      </x:c>
      <x:c r="G75" s="14" t="n">
        <x:v>24</x:v>
      </x:c>
      <x:c r="H75" s="14" t="n">
        <x:v>22</x:v>
      </x:c>
      <x:c r="I75" s="14" t="n">
        <x:v>0</x:v>
      </x:c>
      <x:c r="J75" s="12" t="str">
        <x:v>SOC29/31 plus occupational health/safety, minus separately assigned health groups. Health/safety moved from SOC2010 29-901 to SOC2018 19-501.</x:v>
      </x:c>
      <x:c r="K75" s="51" t="str"/>
      <x:c r="L75" s="12" t="str">
        <x:v>partial</x:v>
      </x:c>
      <x:c r="M75" s="12" t="str">
        <x:v>Remaining health occupations</x:v>
      </x:c>
      <x:c r="N75" s="14" t="n">
        <x:f>C75-E75</x:f>
        <x:v>0</x:v>
      </x:c>
    </x:row>
    <x:row r="76" ht="37.5" customHeight="1">
      <x:c r="A76" s="15" t="str">
        <x:v>611150</x:v>
      </x:c>
      <x:c r="B76" s="12" t="str">
        <x:v>Psychologists - Health services (e.g., clinical, counseling, school psychologists)b</x:v>
      </x:c>
      <x:c r="C76" s="14" t="n">
        <x:v>546</x:v>
      </x:c>
      <x:c r="D76" s="12" t="str">
        <x:v>Include</x:v>
      </x:c>
      <x:c r="E76" s="14" t="n">
        <x:v>546</x:v>
      </x:c>
      <x:c r="F76" s="15" t="str">
        <x:v>Group mean</x:v>
      </x:c>
      <x:c r="G76" s="14" t="n">
        <x:v>2</x:v>
      </x:c>
      <x:c r="H76" s="14" t="n">
        <x:v>2</x:v>
      </x:c>
      <x:c r="I76" s="14" t="n">
        <x:v>0</x:v>
      </x:c>
      <x:c r="J76" s="12" t="str">
        <x:v>Mean of clinical/counseling and school psychologists.</x:v>
      </x:c>
      <x:c r="K76" s="51" t="str"/>
      <x:c r="L76" s="12" t="str">
        <x:v>full</x:v>
      </x:c>
      <x:c r="M76" s="12" t="str">
        <x:v>None</x:v>
      </x:c>
      <x:c r="N76" s="14" t="n">
        <x:f>C76-E76</x:f>
        <x:v>0</x:v>
      </x:c>
    </x:row>
    <x:row r="77" ht="34.5" customHeight="1">
      <x:c r="A77" s="15" t="str">
        <x:v>612870</x:v>
      </x:c>
      <x:c r="B77" s="12" t="str">
        <x:v>Postsecondary teachers - Health</x:v>
      </x:c>
      <x:c r="C77" s="14" t="n">
        <x:v>369</x:v>
      </x:c>
      <x:c r="D77" s="12" t="str">
        <x:v>Include</x:v>
      </x:c>
      <x:c r="E77" s="14" t="n">
        <x:v>369</x:v>
      </x:c>
      <x:c r="F77" s="15" t="str">
        <x:v>Group mean</x:v>
      </x:c>
      <x:c r="G77" s="14" t="n">
        <x:v>2</x:v>
      </x:c>
      <x:c r="H77" s="14" t="n">
        <x:v>2</x:v>
      </x:c>
      <x:c r="I77" s="14" t="n">
        <x:v>0</x:v>
      </x:c>
      <x:c r="J77" s="12" t="str">
        <x:v>Mean of health specialties and nursing teachers.</x:v>
      </x:c>
      <x:c r="K77" s="51" t="str"/>
      <x:c r="L77" s="12" t="str">
        <x:v>full</x:v>
      </x:c>
      <x:c r="M77" s="12" t="str">
        <x:v>None</x:v>
      </x:c>
      <x:c r="N77" s="14" t="n">
        <x:f>C77-E77</x:f>
        <x:v>0</x:v>
      </x:c>
    </x:row>
    <x:row r="78" ht="34.5" customHeight="1">
      <x:c r="A78" s="15" t="str">
        <x:v>621420</x:v>
      </x:c>
      <x:c r="B78" s="12" t="str">
        <x:v>Computer and information systems managers</x:v>
      </x:c>
      <x:c r="C78" s="14" t="n">
        <x:v>727</x:v>
      </x:c>
      <x:c r="D78" s="12" t="str">
        <x:v>Include</x:v>
      </x:c>
      <x:c r="E78" s="14" t="n">
        <x:v>727</x:v>
      </x:c>
      <x:c r="F78" s="15" t="str">
        <x:v>11-3021.00</x:v>
      </x:c>
      <x:c r="G78" s="14" t="n">
        <x:v>1</x:v>
      </x:c>
      <x:c r="H78" s="14" t="n">
        <x:v>1</x:v>
      </x:c>
      <x:c r="I78" s="14" t="n">
        <x:v>0</x:v>
      </x:c>
      <x:c r="J78" s="12" t="str">
        <x:v>Use the broader management profile; NSCG specifies managers of other managers.</x:v>
      </x:c>
      <x:c r="K78" s="51" t="str"/>
      <x:c r="L78" s="12" t="str">
        <x:v>full</x:v>
      </x:c>
      <x:c r="M78" s="12" t="str">
        <x:v>None</x:v>
      </x:c>
      <x:c r="N78" s="14" t="n">
        <x:f>C78-E78</x:f>
        <x:v>0</x:v>
      </x:c>
    </x:row>
    <x:row r="79" ht="34.5" customHeight="1">
      <x:c r="A79" s="15" t="str">
        <x:v>621430</x:v>
      </x:c>
      <x:c r="B79" s="12" t="str">
        <x:v>Engineering managers</x:v>
      </x:c>
      <x:c r="C79" s="14" t="n">
        <x:v>1250</x:v>
      </x:c>
      <x:c r="D79" s="12" t="str">
        <x:v>Include</x:v>
      </x:c>
      <x:c r="E79" s="14" t="n">
        <x:v>1250</x:v>
      </x:c>
      <x:c r="F79" s="15" t="str">
        <x:v>11-9041.00</x:v>
      </x:c>
      <x:c r="G79" s="14" t="n">
        <x:v>1</x:v>
      </x:c>
      <x:c r="H79" s="14" t="n">
        <x:v>1</x:v>
      </x:c>
      <x:c r="I79" s="14" t="n">
        <x:v>0</x:v>
      </x:c>
      <x:c r="J79" s="12" t="str">
        <x:v>Use the broader Architectural and Engineering Managers profile.</x:v>
      </x:c>
      <x:c r="K79" s="51" t="str"/>
      <x:c r="L79" s="12" t="str">
        <x:v>full</x:v>
      </x:c>
      <x:c r="M79" s="12" t="str">
        <x:v>Broader occupation profile</x:v>
      </x:c>
      <x:c r="N79" s="14" t="n">
        <x:f>C79-E79</x:f>
        <x:v>0</x:v>
      </x:c>
    </x:row>
    <x:row r="80" ht="34.5" customHeight="1">
      <x:c r="A80" s="15" t="str">
        <x:v>621440</x:v>
      </x:c>
      <x:c r="B80" s="12" t="str">
        <x:v>Medical and health services managers</x:v>
      </x:c>
      <x:c r="C80" s="14" t="n">
        <x:v>743</x:v>
      </x:c>
      <x:c r="D80" s="12" t="str">
        <x:v>Include</x:v>
      </x:c>
      <x:c r="E80" s="14" t="n">
        <x:v>743</x:v>
      </x:c>
      <x:c r="F80" s="15" t="str">
        <x:v>11-9111.00</x:v>
      </x:c>
      <x:c r="G80" s="14" t="n">
        <x:v>1</x:v>
      </x:c>
      <x:c r="H80" s="14" t="n">
        <x:v>1</x:v>
      </x:c>
      <x:c r="I80" s="14" t="n">
        <x:v>0</x:v>
      </x:c>
      <x:c r="J80" s="12" t="str">
        <x:v>Use the broader management profile; NSCG specifies managers of other managers.</x:v>
      </x:c>
      <x:c r="K80" s="51" t="str"/>
      <x:c r="L80" s="12" t="str">
        <x:v>full</x:v>
      </x:c>
      <x:c r="M80" s="12" t="str">
        <x:v>None</x:v>
      </x:c>
      <x:c r="N80" s="14" t="n">
        <x:f>C80-E80</x:f>
        <x:v>0</x:v>
      </x:c>
    </x:row>
    <x:row r="81" ht="34.5" customHeight="1">
      <x:c r="A81" s="15" t="str">
        <x:v>621450</x:v>
      </x:c>
      <x:c r="B81" s="12" t="str">
        <x:v>Natural sciences managers</x:v>
      </x:c>
      <x:c r="C81" s="14" t="n">
        <x:v>396</x:v>
      </x:c>
      <x:c r="D81" s="12" t="str">
        <x:v>Include</x:v>
      </x:c>
      <x:c r="E81" s="14" t="n">
        <x:v>396</x:v>
      </x:c>
      <x:c r="F81" s="15" t="str">
        <x:v>11-9121.00</x:v>
      </x:c>
      <x:c r="G81" s="14" t="n">
        <x:v>1</x:v>
      </x:c>
      <x:c r="H81" s="14" t="n">
        <x:v>1</x:v>
      </x:c>
      <x:c r="I81" s="14" t="n">
        <x:v>0</x:v>
      </x:c>
      <x:c r="J81" s="12" t="str">
        <x:v>Use the rated .00 profile; omit detailed subtypes.</x:v>
      </x:c>
      <x:c r="K81" s="51" t="str"/>
      <x:c r="L81" s="12" t="str">
        <x:v>full</x:v>
      </x:c>
      <x:c r="M81" s="12" t="str">
        <x:v>None</x:v>
      </x:c>
      <x:c r="N81" s="14" t="n">
        <x:f>C81-E81</x:f>
        <x:v>0</x:v>
      </x:c>
    </x:row>
    <x:row r="82" ht="34.5" customHeight="1">
      <x:c r="A82" s="15" t="str">
        <x:v>632530</x:v>
      </x:c>
      <x:c r="B82" s="12" t="str">
        <x:v>Teachers: Secondary - computer, math, or sciences</x:v>
      </x:c>
      <x:c r="C82" s="14" t="n">
        <x:v>1397</x:v>
      </x:c>
      <x:c r="D82" s="12" t="str">
        <x:v>Include</x:v>
      </x:c>
      <x:c r="E82" s="14" t="n">
        <x:v>1397</x:v>
      </x:c>
      <x:c r="F82" s="15" t="str">
        <x:v>25-2031.00</x:v>
      </x:c>
      <x:c r="G82" s="14" t="n">
        <x:v>1</x:v>
      </x:c>
      <x:c r="H82" s="14" t="n">
        <x:v>1</x:v>
      </x:c>
      <x:c r="I82" s="14" t="n">
        <x:v>0</x:v>
      </x:c>
      <x:c r="J82" s="12" t="str">
        <x:v>Use general secondary-school teaching; possible vocational teaching is a mapping assumption.</x:v>
      </x:c>
      <x:c r="K82" s="51" t="str"/>
      <x:c r="L82" s="12" t="str">
        <x:v>full</x:v>
      </x:c>
      <x:c r="M82" s="12" t="str">
        <x:v>Broader occupation profile</x:v>
      </x:c>
      <x:c r="N82" s="14" t="n">
        <x:f>C82-E82</x:f>
        <x:v>0</x:v>
      </x:c>
    </x:row>
    <x:row r="83" ht="34.5" customHeight="1">
      <x:c r="A83" s="15" t="str">
        <x:v>632540</x:v>
      </x:c>
      <x:c r="B83" s="12" t="str">
        <x:v>Teachers: Secondary - social sciences</x:v>
      </x:c>
      <x:c r="C83" s="14" t="n">
        <x:v>363</x:v>
      </x:c>
      <x:c r="D83" s="12" t="str">
        <x:v>Include</x:v>
      </x:c>
      <x:c r="E83" s="14" t="n">
        <x:v>363</x:v>
      </x:c>
      <x:c r="F83" s="15" t="str">
        <x:v>25-2031.00</x:v>
      </x:c>
      <x:c r="G83" s="14" t="n">
        <x:v>1</x:v>
      </x:c>
      <x:c r="H83" s="14" t="n">
        <x:v>1</x:v>
      </x:c>
      <x:c r="I83" s="14" t="n">
        <x:v>0</x:v>
      </x:c>
      <x:c r="J83" s="12" t="str">
        <x:v>General secondary-school teaching includes social sciences; no subject-specific profile is required.</x:v>
      </x:c>
      <x:c r="K83" s="51" t="str"/>
      <x:c r="L83" s="12" t="str">
        <x:v>full</x:v>
      </x:c>
      <x:c r="M83" s="12" t="str">
        <x:v>Broader occupation profile</x:v>
      </x:c>
      <x:c r="N83" s="14" t="n">
        <x:f>C83-E83</x:f>
        <x:v>0</x:v>
      </x:c>
    </x:row>
    <x:row r="84" ht="34.5" customHeight="1">
      <x:c r="A84" s="15" t="str">
        <x:v>640260</x:v>
      </x:c>
      <x:c r="B84" s="12" t="str">
        <x:v>Technologists and technicians in the biological/life sciences</x:v>
      </x:c>
      <x:c r="C84" s="14" t="n">
        <x:v>663</x:v>
      </x:c>
      <x:c r="D84" s="12" t="str">
        <x:v>Include</x:v>
      </x:c>
      <x:c r="E84" s="14" t="n">
        <x:v>663</x:v>
      </x:c>
      <x:c r="F84" s="15" t="str">
        <x:v>Group mean</x:v>
      </x:c>
      <x:c r="G84" s="14" t="n">
        <x:v>4</x:v>
      </x:c>
      <x:c r="H84" s="14" t="n">
        <x:v>4</x:v>
      </x:c>
      <x:c r="I84" s="14" t="n">
        <x:v>0</x:v>
      </x:c>
      <x:c r="J84" s="12" t="str">
        <x:v>Agricultural, food, biological, and forest/conservation technicians.</x:v>
      </x:c>
      <x:c r="K84" s="51" t="str"/>
      <x:c r="L84" s="12" t="str">
        <x:v>full</x:v>
      </x:c>
      <x:c r="M84" s="12" t="str">
        <x:v>None</x:v>
      </x:c>
      <x:c r="N84" s="14" t="n">
        <x:f>C84-E84</x:f>
        <x:v>0</x:v>
      </x:c>
    </x:row>
    <x:row r="85" ht="34.5" customHeight="1">
      <x:c r="A85" s="15" t="str">
        <x:v>640530</x:v>
      </x:c>
      <x:c r="B85" s="12" t="str">
        <x:v>Computer programmers (business, scientific, process control)</x:v>
      </x:c>
      <x:c r="C85" s="14" t="n">
        <x:v>700</x:v>
      </x:c>
      <x:c r="D85" s="12" t="str">
        <x:v>Include</x:v>
      </x:c>
      <x:c r="E85" s="14" t="n">
        <x:v>700</x:v>
      </x:c>
      <x:c r="F85" s="15" t="str">
        <x:v>15-1251.00</x:v>
      </x:c>
      <x:c r="G85" s="14" t="n">
        <x:v>1</x:v>
      </x:c>
      <x:c r="H85" s="14" t="n">
        <x:v>1</x:v>
      </x:c>
      <x:c r="I85" s="14" t="n">
        <x:v>0</x:v>
      </x:c>
      <x:c r="J85" s="12" t="str">
        <x:v>Listed programming fields use Computer Programmers.</x:v>
      </x:c>
      <x:c r="K85" s="51" t="str"/>
      <x:c r="L85" s="12" t="str">
        <x:v>full</x:v>
      </x:c>
      <x:c r="M85" s="12" t="str">
        <x:v>None</x:v>
      </x:c>
      <x:c r="N85" s="14" t="n">
        <x:f>C85-E85</x:f>
        <x:v>0</x:v>
      </x:c>
    </x:row>
    <x:row r="86" ht="37.5" customHeight="1">
      <x:c r="A86" s="15" t="str">
        <x:v>641000</x:v>
      </x:c>
      <x:c r="B86" s="12" t="str">
        <x:v>Electrical, electronic, industrial, and mechanical technicians</x:v>
      </x:c>
      <x:c r="C86" s="14" t="n">
        <x:v>1183</x:v>
      </x:c>
      <x:c r="D86" s="12" t="str">
        <x:v>Include</x:v>
      </x:c>
      <x:c r="E86" s="14" t="n">
        <x:v>1183</x:v>
      </x:c>
      <x:c r="F86" s="15" t="str">
        <x:v>Group mean</x:v>
      </x:c>
      <x:c r="G86" s="14" t="n">
        <x:v>4</x:v>
      </x:c>
      <x:c r="H86" s="14" t="n">
        <x:v>4</x:v>
      </x:c>
      <x:c r="I86" s="14" t="n">
        <x:v>0</x:v>
      </x:c>
      <x:c r="J86" s="12" t="str">
        <x:v>Electrical/electronic, industrial, mechanical and electromechanical technicians.</x:v>
      </x:c>
      <x:c r="K86" s="51" t="str"/>
      <x:c r="L86" s="12" t="str">
        <x:v>full</x:v>
      </x:c>
      <x:c r="M86" s="12" t="str">
        <x:v>None</x:v>
      </x:c>
      <x:c r="N86" s="14" t="n">
        <x:f>C86-E86</x:f>
        <x:v>0</x:v>
      </x:c>
    </x:row>
    <x:row r="87" ht="37.5" customHeight="1">
      <x:c r="A87" s="15" t="str">
        <x:v>641010</x:v>
      </x:c>
      <x:c r="B87" s="12" t="str">
        <x:v>Drafting occupations, including computer drafting</x:v>
      </x:c>
      <x:c r="C87" s="14" t="n">
        <x:v>182</x:v>
      </x:c>
      <x:c r="D87" s="12" t="str">
        <x:v>Include</x:v>
      </x:c>
      <x:c r="E87" s="14" t="n">
        <x:v>182</x:v>
      </x:c>
      <x:c r="F87" s="15" t="str">
        <x:v>Group mean</x:v>
      </x:c>
      <x:c r="G87" s="14" t="n">
        <x:v>4</x:v>
      </x:c>
      <x:c r="H87" s="14" t="n">
        <x:v>3</x:v>
      </x:c>
      <x:c r="I87" s="14" t="n">
        <x:v>0</x:v>
      </x:c>
      <x:c r="J87" s="12" t="str">
        <x:v>Architectural/civil, electrical/electronic, mechanical and other drafters.</x:v>
      </x:c>
      <x:c r="K87" s="51" t="str"/>
      <x:c r="L87" s="12" t="str">
        <x:v>partial</x:v>
      </x:c>
      <x:c r="M87" s="12" t="str">
        <x:v>None</x:v>
      </x:c>
      <x:c r="N87" s="14" t="n">
        <x:f>C87-E87</x:f>
        <x:v>0</x:v>
      </x:c>
    </x:row>
    <x:row r="88" ht="34.5" customHeight="1">
      <x:c r="A88" s="15" t="str">
        <x:v>641020</x:v>
      </x:c>
      <x:c r="B88" s="12" t="str">
        <x:v>Surveying and mapping technicians</x:v>
      </x:c>
      <x:c r="C88" s="14" t="n">
        <x:v>66</x:v>
      </x:c>
      <x:c r="D88" s="12" t="str">
        <x:v>Include</x:v>
      </x:c>
      <x:c r="E88" s="14" t="n">
        <x:v>66</x:v>
      </x:c>
      <x:c r="F88" s="15" t="str">
        <x:v>17-3031.00</x:v>
      </x:c>
      <x:c r="G88" s="14" t="n">
        <x:v>1</x:v>
      </x:c>
      <x:c r="H88" s="14" t="n">
        <x:v>1</x:v>
      </x:c>
      <x:c r="I88" s="14" t="n">
        <x:v>0</x:v>
      </x:c>
      <x:c r="J88" s="12" t="str">
        <x:v>Occupation titles and scope align.</x:v>
      </x:c>
      <x:c r="K88" s="51" t="str"/>
      <x:c r="L88" s="12" t="str">
        <x:v>full</x:v>
      </x:c>
      <x:c r="M88" s="12" t="str">
        <x:v>None</x:v>
      </x:c>
      <x:c r="N88" s="14" t="n">
        <x:f>C88-E88</x:f>
        <x:v>0</x:v>
      </x:c>
    </x:row>
    <x:row r="89" ht="37.5" customHeight="1">
      <x:c r="A89" s="15" t="str">
        <x:v>641030</x:v>
      </x:c>
      <x:c r="B89" s="12" t="str">
        <x:v>Other engineering technologists and technicians</x:v>
      </x:c>
      <x:c r="C89" s="14" t="n">
        <x:v>1050</x:v>
      </x:c>
      <x:c r="D89" s="12" t="str">
        <x:v>Include</x:v>
      </x:c>
      <x:c r="E89" s="14" t="n">
        <x:v>1050</x:v>
      </x:c>
      <x:c r="F89" s="15" t="str">
        <x:v>Group mean</x:v>
      </x:c>
      <x:c r="G89" s="14" t="n">
        <x:v>5</x:v>
      </x:c>
      <x:c r="H89" s="14" t="n">
        <x:v>3</x:v>
      </x:c>
      <x:c r="I89" s="14" t="n">
        <x:v>0</x:v>
      </x:c>
      <x:c r="J89" s="12" t="str">
        <x:v>Aerospace, civil, environmental, calibration and other engineering technicians; exclude separately listed technician groups.</x:v>
      </x:c>
      <x:c r="K89" s="51" t="str"/>
      <x:c r="L89" s="12" t="str">
        <x:v>partial</x:v>
      </x:c>
      <x:c r="M89" s="12" t="str">
        <x:v>None</x:v>
      </x:c>
      <x:c r="N89" s="14" t="n">
        <x:f>C89-E89</x:f>
        <x:v>0</x:v>
      </x:c>
    </x:row>
    <x:row r="90" ht="34.5" customHeight="1">
      <x:c r="A90" s="15" t="str">
        <x:v>641040</x:v>
      </x:c>
      <x:c r="B90" s="12" t="str">
        <x:v>Surveyors, cartographers, photogrammetrists</x:v>
      </x:c>
      <x:c r="C90" s="14" t="n">
        <x:v>85</x:v>
      </x:c>
      <x:c r="D90" s="12" t="str">
        <x:v>Include</x:v>
      </x:c>
      <x:c r="E90" s="14" t="n">
        <x:v>85</x:v>
      </x:c>
      <x:c r="F90" s="15" t="str">
        <x:v>Group mean</x:v>
      </x:c>
      <x:c r="G90" s="14" t="n">
        <x:v>2</x:v>
      </x:c>
      <x:c r="H90" s="14" t="n">
        <x:v>2</x:v>
      </x:c>
      <x:c r="I90" s="14" t="n">
        <x:v>0</x:v>
      </x:c>
      <x:c r="J90" s="12" t="str">
        <x:v>Mean of surveyors and cartographers/photogrammetrists.</x:v>
      </x:c>
      <x:c r="K90" s="51" t="str"/>
      <x:c r="L90" s="12" t="str">
        <x:v>full</x:v>
      </x:c>
      <x:c r="M90" s="12" t="str">
        <x:v>None</x:v>
      </x:c>
      <x:c r="N90" s="14" t="n">
        <x:f>C90-E90</x:f>
        <x:v>0</x:v>
      </x:c>
    </x:row>
    <x:row r="91" ht="50.25" customHeight="1">
      <x:c r="A91" s="15" t="str">
        <x:v>641970</x:v>
      </x:c>
      <x:c r="B91" s="12" t="str">
        <x:v>Technologists and technicians in the physical sciences</x:v>
      </x:c>
      <x:c r="C91" s="14" t="n">
        <x:v>117</x:v>
      </x:c>
      <x:c r="D91" s="12" t="str">
        <x:v>Include</x:v>
      </x:c>
      <x:c r="E91" s="14" t="n">
        <x:v>117</x:v>
      </x:c>
      <x:c r="F91" s="15" t="str">
        <x:v>Group mean</x:v>
      </x:c>
      <x:c r="G91" s="14" t="n">
        <x:v>7</x:v>
      </x:c>
      <x:c r="H91" s="14" t="n">
        <x:v>5</x:v>
      </x:c>
      <x:c r="I91" s="14" t="n">
        <x:v>0</x:v>
      </x:c>
      <x:c r="J91" s="12" t="str">
        <x:v>Chemical, environmental, geological, hydrologic, nuclear, forensic and other science technicians. The unrated residual spans life, physical and social science.</x:v>
      </x:c>
      <x:c r="K91" s="51" t="str"/>
      <x:c r="L91" s="12" t="str">
        <x:v>partial</x:v>
      </x:c>
      <x:c r="M91" s="12" t="str">
        <x:v>Remaining occupation group</x:v>
      </x:c>
      <x:c r="N91" s="14" t="n">
        <x:f>C91-E91</x:f>
        <x:v>0</x:v>
      </x:c>
    </x:row>
    <x:row r="92" ht="34.5" customHeight="1">
      <x:c r="A92" s="15" t="str">
        <x:v>650810</x:v>
      </x:c>
      <x:c r="B92" s="12" t="str">
        <x:v>Architects, except naval</x:v>
      </x:c>
      <x:c r="C92" s="14" t="n">
        <x:v>436</x:v>
      </x:c>
      <x:c r="D92" s="12" t="str">
        <x:v>Include</x:v>
      </x:c>
      <x:c r="E92" s="14" t="n">
        <x:v>436</x:v>
      </x:c>
      <x:c r="F92" s="15" t="str">
        <x:v>Group mean</x:v>
      </x:c>
      <x:c r="G92" s="14" t="n">
        <x:v>2</x:v>
      </x:c>
      <x:c r="H92" s="14" t="n">
        <x:v>2</x:v>
      </x:c>
      <x:c r="I92" s="14" t="n">
        <x:v>0</x:v>
      </x:c>
      <x:c r="J92" s="12" t="str">
        <x:v>Mean of architects, excluding landscape/naval, and landscape architects.</x:v>
      </x:c>
      <x:c r="K92" s="51" t="str"/>
      <x:c r="L92" s="12" t="str">
        <x:v>full</x:v>
      </x:c>
      <x:c r="M92" s="12" t="str">
        <x:v>None</x:v>
      </x:c>
      <x:c r="N92" s="14" t="n">
        <x:f>C92-E92</x:f>
        <x:v>0</x:v>
      </x:c>
    </x:row>
    <x:row r="93" ht="34.5" customHeight="1">
      <x:c r="A93" s="15" t="str">
        <x:v>651710</x:v>
      </x:c>
      <x:c r="B93" s="12" t="str">
        <x:v>Actuaries</x:v>
      </x:c>
      <x:c r="C93" s="14" t="n">
        <x:v>176</x:v>
      </x:c>
      <x:c r="D93" s="12" t="str">
        <x:v>Include</x:v>
      </x:c>
      <x:c r="E93" s="14" t="n">
        <x:v>176</x:v>
      </x:c>
      <x:c r="F93" s="15" t="str">
        <x:v>15-2011.00</x:v>
      </x:c>
      <x:c r="G93" s="14" t="n">
        <x:v>1</x:v>
      </x:c>
      <x:c r="H93" s="14" t="n">
        <x:v>1</x:v>
      </x:c>
      <x:c r="I93" s="14" t="n">
        <x:v>0</x:v>
      </x:c>
      <x:c r="J93" s="12" t="str">
        <x:v>Occupation titles and scope align.</x:v>
      </x:c>
      <x:c r="K93" s="51" t="str"/>
      <x:c r="L93" s="12" t="str">
        <x:v>full</x:v>
      </x:c>
      <x:c r="M93" s="12" t="str">
        <x:v>None</x:v>
      </x:c>
      <x:c r="N93" s="14" t="n">
        <x:f>C93-E93</x:f>
        <x:v>0</x:v>
      </x:c>
    </x:row>
    <x:row r="94" ht="37.5" customHeight="1">
      <x:c r="A94" s="15" t="str">
        <x:v>711410</x:v>
      </x:c>
      <x:c r="B94" s="12" t="str">
        <x:v>Top-executives (e.g., chief executives, general and operations managers, legislators)</x:v>
      </x:c>
      <x:c r="C94" s="14" t="n">
        <x:v>3673</x:v>
      </x:c>
      <x:c r="D94" s="12" t="str">
        <x:v>Include</x:v>
      </x:c>
      <x:c r="E94" s="14" t="n">
        <x:v>3673</x:v>
      </x:c>
      <x:c r="F94" s="15" t="str">
        <x:v>Group mean</x:v>
      </x:c>
      <x:c r="G94" s="14" t="n">
        <x:v>3</x:v>
      </x:c>
      <x:c r="H94" s="14" t="n">
        <x:v>3</x:v>
      </x:c>
      <x:c r="I94" s="14" t="n">
        <x:v>0</x:v>
      </x:c>
      <x:c r="J94" s="12" t="str">
        <x:v>Chief executives, general/operations managers and legislators.</x:v>
      </x:c>
      <x:c r="K94" s="51" t="str"/>
      <x:c r="L94" s="12" t="str">
        <x:v>full</x:v>
      </x:c>
      <x:c r="M94" s="12" t="str">
        <x:v>None</x:v>
      </x:c>
      <x:c r="N94" s="14" t="n">
        <x:f>C94-E94</x:f>
        <x:v>0</x:v>
      </x:c>
    </x:row>
    <x:row r="95" ht="37.5" customHeight="1">
      <x:c r="A95" s="15" t="str">
        <x:v>711460</x:v>
      </x:c>
      <x:c r="B95" s="12" t="str">
        <x:v>Education and childcare administrators</x:v>
      </x:c>
      <x:c r="C95" s="14" t="n">
        <x:v>390</x:v>
      </x:c>
      <x:c r="D95" s="12" t="str">
        <x:v>Include</x:v>
      </x:c>
      <x:c r="E95" s="14" t="n">
        <x:v>390</x:v>
      </x:c>
      <x:c r="F95" s="15" t="str">
        <x:v>Group mean</x:v>
      </x:c>
      <x:c r="G95" s="14" t="n">
        <x:v>4</x:v>
      </x:c>
      <x:c r="H95" s="14" t="n">
        <x:v>3</x:v>
      </x:c>
      <x:c r="I95" s="14" t="n">
        <x:v>0</x:v>
      </x:c>
      <x:c r="J95" s="12" t="str">
        <x:v>Preschool/childcare, school, college and other education administrators.</x:v>
      </x:c>
      <x:c r="K95" s="51" t="str"/>
      <x:c r="L95" s="12" t="str">
        <x:v>partial</x:v>
      </x:c>
      <x:c r="M95" s="12" t="str">
        <x:v>None</x:v>
      </x:c>
      <x:c r="N95" s="14" t="n">
        <x:f>C95-E95</x:f>
        <x:v>0</x:v>
      </x:c>
    </x:row>
    <x:row r="96" ht="50.25" customHeight="1">
      <x:c r="A96" s="15" t="str">
        <x:v>711470</x:v>
      </x:c>
      <x:c r="B96" s="12" t="str">
        <x:v>Other mid-level managers</x:v>
      </x:c>
      <x:c r="C96" s="14" t="n">
        <x:v>2184</x:v>
      </x:c>
      <x:c r="D96" s="12" t="str">
        <x:v>Include</x:v>
      </x:c>
      <x:c r="E96" s="14" t="n">
        <x:v>2184</x:v>
      </x:c>
      <x:c r="F96" s="15" t="str">
        <x:v>Group mean</x:v>
      </x:c>
      <x:c r="G96" s="14" t="n">
        <x:v>27</x:v>
      </x:c>
      <x:c r="H96" s="14" t="n">
        <x:v>21</x:v>
      </x:c>
      <x:c r="I96" s="14" t="n">
        <x:v>0</x:v>
      </x:c>
      <x:c r="J96" s="12" t="str">
        <x:v>Management occupations minus top executives and separately listed computer, engineering, health, natural-science and education managers.</x:v>
      </x:c>
      <x:c r="K96" s="51" t="str"/>
      <x:c r="L96" s="12" t="str">
        <x:v>partial</x:v>
      </x:c>
      <x:c r="M96" s="12" t="str">
        <x:v>Remaining occupation group</x:v>
      </x:c>
      <x:c r="N96" s="14" t="n">
        <x:f>C96-E96</x:f>
        <x:v>0</x:v>
      </x:c>
    </x:row>
    <x:row r="97" ht="37.5" customHeight="1">
      <x:c r="A97" s="15" t="str">
        <x:v>721510</x:v>
      </x:c>
      <x:c r="B97" s="12" t="str">
        <x:v>Financial specialists (e.g., accountants, auditors)</x:v>
      </x:c>
      <x:c r="C97" s="14" t="n">
        <x:v>2038</x:v>
      </x:c>
      <x:c r="D97" s="12" t="str">
        <x:v>Include</x:v>
      </x:c>
      <x:c r="E97" s="14" t="n">
        <x:v>2038</x:v>
      </x:c>
      <x:c r="F97" s="15" t="str">
        <x:v>Group mean</x:v>
      </x:c>
      <x:c r="G97" s="14" t="n">
        <x:v>15</x:v>
      </x:c>
      <x:c r="H97" s="14" t="n">
        <x:v>11</x:v>
      </x:c>
      <x:c r="I97" s="14" t="n">
        <x:v>0</x:v>
      </x:c>
      <x:c r="J97" s="12" t="str">
        <x:v>All 15 detailed SOC13-2000 occupations; 13-2099 is only the residual member.</x:v>
      </x:c>
      <x:c r="K97" s="51" t="str"/>
      <x:c r="L97" s="12" t="str">
        <x:v>partial</x:v>
      </x:c>
      <x:c r="M97" s="12" t="str">
        <x:v>None</x:v>
      </x:c>
      <x:c r="N97" s="14" t="n">
        <x:f>C97-E97</x:f>
        <x:v>0</x:v>
      </x:c>
    </x:row>
    <x:row r="98" ht="34.5" customHeight="1">
      <x:c r="A98" s="15" t="str">
        <x:v>721520</x:v>
      </x:c>
      <x:c r="B98" s="12" t="str">
        <x:v>Personnel, training, and labor relations specialists</x:v>
      </x:c>
      <x:c r="C98" s="14" t="n">
        <x:v>769</x:v>
      </x:c>
      <x:c r="D98" s="12" t="str">
        <x:v>Include</x:v>
      </x:c>
      <x:c r="E98" s="14" t="n">
        <x:v>769</x:v>
      </x:c>
      <x:c r="F98" s="15" t="str">
        <x:v>Group mean</x:v>
      </x:c>
      <x:c r="G98" s="14" t="n">
        <x:v>4</x:v>
      </x:c>
      <x:c r="H98" s="14" t="n">
        <x:v>4</x:v>
      </x:c>
      <x:c r="I98" s="14" t="n">
        <x:v>0</x:v>
      </x:c>
      <x:c r="J98" s="12" t="str">
        <x:v>Human resources, labor relations, compensation/benefits and training specialists.</x:v>
      </x:c>
      <x:c r="K98" s="51" t="str"/>
      <x:c r="L98" s="12" t="str">
        <x:v>full</x:v>
      </x:c>
      <x:c r="M98" s="12" t="str">
        <x:v>None</x:v>
      </x:c>
      <x:c r="N98" s="14" t="n">
        <x:f>C98-E98</x:f>
        <x:v>0</x:v>
      </x:c>
    </x:row>
    <x:row r="99" ht="50.25" customHeight="1">
      <x:c r="A99" s="15" t="str">
        <x:v>721530</x:v>
      </x:c>
      <x:c r="B99" s="12" t="str">
        <x:v>Other management related occupations (e.g., buyers and purchasing agents, claims adjusters, compliance officers, logisticians, management analysts, marketing specialists) </x:v>
      </x:c>
      <x:c r="C99" s="14" t="n">
        <x:v>3381</x:v>
      </x:c>
      <x:c r="D99" s="12" t="str">
        <x:v>Include</x:v>
      </x:c>
      <x:c r="E99" s="14" t="n">
        <x:v>3381</x:v>
      </x:c>
      <x:c r="F99" s="15" t="str">
        <x:v>Group mean</x:v>
      </x:c>
      <x:c r="G99" s="14" t="n">
        <x:v>16</x:v>
      </x:c>
      <x:c r="H99" s="14" t="n">
        <x:v>14</x:v>
      </x:c>
      <x:c r="I99" s="14" t="n">
        <x:v>0</x:v>
      </x:c>
      <x:c r="J99" s="12" t="str">
        <x:v>Business operations minus the four separately listed personnel/training occupations. Finance is separate; farm labor contractors remain included.</x:v>
      </x:c>
      <x:c r="K99" s="51" t="str"/>
      <x:c r="L99" s="12" t="str">
        <x:v>partial</x:v>
      </x:c>
      <x:c r="M99" s="12" t="str">
        <x:v>Remaining occupation group</x:v>
      </x:c>
      <x:c r="N99" s="14" t="n">
        <x:f>C99-E99</x:f>
        <x:v>0</x:v>
      </x:c>
    </x:row>
    <x:row r="100" ht="34.5" customHeight="1">
      <x:c r="A100" s="15" t="str">
        <x:v>732510</x:v>
      </x:c>
      <x:c r="B100" s="12" t="str">
        <x:v>Teachers: Preschool and kindergarten </x:v>
      </x:c>
      <x:c r="C100" s="14" t="n">
        <x:v>228</x:v>
      </x:c>
      <x:c r="D100" s="12" t="str">
        <x:v>Include</x:v>
      </x:c>
      <x:c r="E100" s="14" t="n">
        <x:v>228</x:v>
      </x:c>
      <x:c r="F100" s="15" t="str">
        <x:v>Group mean</x:v>
      </x:c>
      <x:c r="G100" s="14" t="n">
        <x:v>2</x:v>
      </x:c>
      <x:c r="H100" s="14" t="n">
        <x:v>2</x:v>
      </x:c>
      <x:c r="I100" s="14" t="n">
        <x:v>0</x:v>
      </x:c>
      <x:c r="J100" s="12" t="str">
        <x:v>Mean of preschool and kindergarten teachers.</x:v>
      </x:c>
      <x:c r="K100" s="51" t="str"/>
      <x:c r="L100" s="12" t="str">
        <x:v>full</x:v>
      </x:c>
      <x:c r="M100" s="12" t="str">
        <x:v>None</x:v>
      </x:c>
      <x:c r="N100" s="14" t="n">
        <x:f>C100-E100</x:f>
        <x:v>0</x:v>
      </x:c>
    </x:row>
    <x:row r="101" ht="34.5" customHeight="1">
      <x:c r="A101" s="15" t="str">
        <x:v>732520</x:v>
      </x:c>
      <x:c r="B101" s="12" t="str">
        <x:v>Teachers: Elementary and middle school </x:v>
      </x:c>
      <x:c r="C101" s="14" t="n">
        <x:v>1086</x:v>
      </x:c>
      <x:c r="D101" s="12" t="str">
        <x:v>Include</x:v>
      </x:c>
      <x:c r="E101" s="14" t="n">
        <x:v>1086</x:v>
      </x:c>
      <x:c r="F101" s="15" t="str">
        <x:v>Group mean</x:v>
      </x:c>
      <x:c r="G101" s="14" t="n">
        <x:v>3</x:v>
      </x:c>
      <x:c r="H101" s="14" t="n">
        <x:v>3</x:v>
      </x:c>
      <x:c r="I101" s="14" t="n">
        <x:v>0</x:v>
      </x:c>
      <x:c r="J101" s="12" t="str">
        <x:v>Elementary, general middle-school and middle-school vocational teachers.</x:v>
      </x:c>
      <x:c r="K101" s="51" t="str"/>
      <x:c r="L101" s="12" t="str">
        <x:v>full</x:v>
      </x:c>
      <x:c r="M101" s="12" t="str">
        <x:v>None</x:v>
      </x:c>
      <x:c r="N101" s="14" t="n">
        <x:f>C101-E101</x:f>
        <x:v>0</x:v>
      </x:c>
    </x:row>
    <x:row r="102" ht="37.5" customHeight="1">
      <x:c r="A102" s="15" t="str">
        <x:v>732550</x:v>
      </x:c>
      <x:c r="B102" s="12" t="str">
        <x:v>Teachers: Secondary - other subjects</x:v>
      </x:c>
      <x:c r="C102" s="14" t="n">
        <x:v>650</x:v>
      </x:c>
      <x:c r="D102" s="12" t="str">
        <x:v>Include</x:v>
      </x:c>
      <x:c r="E102" s="14" t="n">
        <x:v>650</x:v>
      </x:c>
      <x:c r="F102" s="15" t="str">
        <x:v>Group mean</x:v>
      </x:c>
      <x:c r="G102" s="14" t="n">
        <x:v>2</x:v>
      </x:c>
      <x:c r="H102" s="14" t="n">
        <x:v>2</x:v>
      </x:c>
      <x:c r="I102" s="14" t="n">
        <x:v>0</x:v>
      </x:c>
      <x:c r="J102" s="12" t="str">
        <x:v>General and vocational secondary-school teachers represent other subjects.</x:v>
      </x:c>
      <x:c r="K102" s="51" t="str"/>
      <x:c r="L102" s="12" t="str">
        <x:v>full</x:v>
      </x:c>
      <x:c r="M102" s="12" t="str">
        <x:v>None</x:v>
      </x:c>
      <x:c r="N102" s="14" t="n">
        <x:f>C102-E102</x:f>
        <x:v>0</x:v>
      </x:c>
    </x:row>
    <x:row r="103" ht="37.5" customHeight="1">
      <x:c r="A103" s="15" t="str">
        <x:v>732560</x:v>
      </x:c>
      <x:c r="B103" s="12" t="str">
        <x:v>Teachers: Special education - primary and secondary school</x:v>
      </x:c>
      <x:c r="C103" s="14" t="n">
        <x:v>418</x:v>
      </x:c>
      <x:c r="D103" s="12" t="str">
        <x:v>Include</x:v>
      </x:c>
      <x:c r="E103" s="14" t="n">
        <x:v>418</x:v>
      </x:c>
      <x:c r="F103" s="15" t="str">
        <x:v>Group mean</x:v>
      </x:c>
      <x:c r="G103" s="14" t="n">
        <x:v>4</x:v>
      </x:c>
      <x:c r="H103" s="14" t="n">
        <x:v>2</x:v>
      </x:c>
      <x:c r="I103" s="14" t="n">
        <x:v>0</x:v>
      </x:c>
      <x:c r="J103" s="12" t="str">
        <x:v>Kindergarten through secondary special education; exclude preschool and unspecified levels. Treat kindergarten as primary education.</x:v>
      </x:c>
      <x:c r="K103" s="51" t="str"/>
      <x:c r="L103" s="12" t="str">
        <x:v>partial</x:v>
      </x:c>
      <x:c r="M103" s="12" t="str">
        <x:v>Kindergarten treated as primary</x:v>
      </x:c>
      <x:c r="N103" s="14" t="n">
        <x:f>C103-E103</x:f>
        <x:v>0</x:v>
      </x:c>
    </x:row>
    <x:row r="104" ht="37.5" customHeight="1">
      <x:c r="A104" s="15" t="str">
        <x:v>732570</x:v>
      </x:c>
      <x:c r="B104" s="12" t="str">
        <x:v>Teachers: Other precollegiate area</x:v>
      </x:c>
      <x:c r="C104" s="14" t="n">
        <x:v>171</x:v>
      </x:c>
      <x:c r="D104" s="12" t="str">
        <x:v>Exclude (uncertain mapping)</x:v>
      </x:c>
      <x:c r="E104" s="14" t="n">
        <x:v>0</x:v>
      </x:c>
      <x:c r="F104" s="15" t="str"/>
      <x:c r="G104" s="14" t="n">
        <x:v>3</x:v>
      </x:c>
      <x:c r="H104" s="14" t="n">
        <x:v>1</x:v>
      </x:c>
      <x:c r="I104" s="14" t="n">
        <x:v>0</x:v>
      </x:c>
      <x:c r="J104" s="12" t="str">
        <x:v>Teaching subtypes are unspecified. SOC25-2000 is too broad; adult education cannot represent the whole category.</x:v>
      </x:c>
      <x:c r="K104" s="51" t="str"/>
      <x:c r="L104" s="12" t="str">
        <x:v>Not applicable</x:v>
      </x:c>
      <x:c r="M104" s="12" t="str">
        <x:v>None</x:v>
      </x:c>
      <x:c r="N104" s="14" t="n">
        <x:f>C104-E104</x:f>
        <x:v>171</x:v>
      </x:c>
    </x:row>
    <x:row r="105" ht="34.5" customHeight="1">
      <x:c r="A105" s="15" t="str">
        <x:v>742720</x:v>
      </x:c>
      <x:c r="B105" s="12" t="str">
        <x:v>Postsecondary teachers - Art, drama, and music</x:v>
      </x:c>
      <x:c r="C105" s="14" t="n">
        <x:v>131</x:v>
      </x:c>
      <x:c r="D105" s="12" t="str">
        <x:v>Include</x:v>
      </x:c>
      <x:c r="E105" s="14" t="n">
        <x:v>131</x:v>
      </x:c>
      <x:c r="F105" s="15" t="str">
        <x:v>25-1121.00</x:v>
      </x:c>
      <x:c r="G105" s="14" t="n">
        <x:v>1</x:v>
      </x:c>
      <x:c r="H105" s="14" t="n">
        <x:v>1</x:v>
      </x:c>
      <x:c r="I105" s="14" t="n">
        <x:v>0</x:v>
      </x:c>
      <x:c r="J105" s="12" t="str">
        <x:v>Use the subject-specific postsecondary teaching profile.</x:v>
      </x:c>
      <x:c r="K105" s="51" t="str"/>
      <x:c r="L105" s="12" t="str">
        <x:v>full</x:v>
      </x:c>
      <x:c r="M105" s="12" t="str">
        <x:v>None</x:v>
      </x:c>
      <x:c r="N105" s="14" t="n">
        <x:f>C105-E105</x:f>
        <x:v>0</x:v>
      </x:c>
    </x:row>
    <x:row r="106" ht="34.5" customHeight="1">
      <x:c r="A106" s="15" t="str">
        <x:v>742740</x:v>
      </x:c>
      <x:c r="B106" s="12" t="str">
        <x:v>Postsecondary teachers - Business</x:v>
      </x:c>
      <x:c r="C106" s="14" t="n">
        <x:v>207</x:v>
      </x:c>
      <x:c r="D106" s="12" t="str">
        <x:v>Include</x:v>
      </x:c>
      <x:c r="E106" s="14" t="n">
        <x:v>207</x:v>
      </x:c>
      <x:c r="F106" s="15" t="str">
        <x:v>25-1011.00</x:v>
      </x:c>
      <x:c r="G106" s="14" t="n">
        <x:v>1</x:v>
      </x:c>
      <x:c r="H106" s="14" t="n">
        <x:v>1</x:v>
      </x:c>
      <x:c r="I106" s="14" t="n">
        <x:v>0</x:v>
      </x:c>
      <x:c r="J106" s="12" t="str">
        <x:v>Use the subject-specific postsecondary teaching profile.</x:v>
      </x:c>
      <x:c r="K106" s="51" t="str"/>
      <x:c r="L106" s="12" t="str">
        <x:v>full</x:v>
      </x:c>
      <x:c r="M106" s="12" t="str">
        <x:v>None</x:v>
      </x:c>
      <x:c r="N106" s="14" t="n">
        <x:f>C106-E106</x:f>
        <x:v>0</x:v>
      </x:c>
    </x:row>
    <x:row r="107" ht="34.5" customHeight="1">
      <x:c r="A107" s="15" t="str">
        <x:v>742790</x:v>
      </x:c>
      <x:c r="B107" s="12" t="str">
        <x:v>Postsecondary teachers - Education</x:v>
      </x:c>
      <x:c r="C107" s="14" t="n">
        <x:v>180</x:v>
      </x:c>
      <x:c r="D107" s="12" t="str">
        <x:v>Include</x:v>
      </x:c>
      <x:c r="E107" s="14" t="n">
        <x:v>180</x:v>
      </x:c>
      <x:c r="F107" s="15" t="str">
        <x:v>25-1081.00</x:v>
      </x:c>
      <x:c r="G107" s="14" t="n">
        <x:v>1</x:v>
      </x:c>
      <x:c r="H107" s="14" t="n">
        <x:v>1</x:v>
      </x:c>
      <x:c r="I107" s="14" t="n">
        <x:v>0</x:v>
      </x:c>
      <x:c r="J107" s="12" t="str">
        <x:v>Use the subject-specific postsecondary teaching profile.</x:v>
      </x:c>
      <x:c r="K107" s="51" t="str"/>
      <x:c r="L107" s="12" t="str">
        <x:v>full</x:v>
      </x:c>
      <x:c r="M107" s="12" t="str">
        <x:v>None</x:v>
      </x:c>
      <x:c r="N107" s="14" t="n">
        <x:f>C107-E107</x:f>
        <x:v>0</x:v>
      </x:c>
    </x:row>
    <x:row r="108" ht="34.5" customHeight="1">
      <x:c r="A108" s="15" t="str">
        <x:v>742810</x:v>
      </x:c>
      <x:c r="B108" s="12" t="str">
        <x:v>Postsecondary teachers - English language and literature</x:v>
      </x:c>
      <x:c r="C108" s="14" t="n">
        <x:v>135</x:v>
      </x:c>
      <x:c r="D108" s="12" t="str">
        <x:v>Include</x:v>
      </x:c>
      <x:c r="E108" s="14" t="n">
        <x:v>135</x:v>
      </x:c>
      <x:c r="F108" s="15" t="str">
        <x:v>25-1123.00</x:v>
      </x:c>
      <x:c r="G108" s="14" t="n">
        <x:v>1</x:v>
      </x:c>
      <x:c r="H108" s="14" t="n">
        <x:v>1</x:v>
      </x:c>
      <x:c r="I108" s="14" t="n">
        <x:v>0</x:v>
      </x:c>
      <x:c r="J108" s="12" t="str">
        <x:v>Use the subject-specific postsecondary teaching profile.</x:v>
      </x:c>
      <x:c r="K108" s="51" t="str"/>
      <x:c r="L108" s="12" t="str">
        <x:v>full</x:v>
      </x:c>
      <x:c r="M108" s="12" t="str">
        <x:v>None</x:v>
      </x:c>
      <x:c r="N108" s="14" t="n">
        <x:f>C108-E108</x:f>
        <x:v>0</x:v>
      </x:c>
    </x:row>
    <x:row r="109" ht="34.5" customHeight="1">
      <x:c r="A109" s="15" t="str">
        <x:v>742820</x:v>
      </x:c>
      <x:c r="B109" s="12" t="str">
        <x:v>Postsecondary teachers - Foreign language and literature</x:v>
      </x:c>
      <x:c r="C109" s="14" t="n">
        <x:v>137</x:v>
      </x:c>
      <x:c r="D109" s="12" t="str">
        <x:v>Include</x:v>
      </x:c>
      <x:c r="E109" s="14" t="n">
        <x:v>137</x:v>
      </x:c>
      <x:c r="F109" s="15" t="str">
        <x:v>25-1124.00</x:v>
      </x:c>
      <x:c r="G109" s="14" t="n">
        <x:v>1</x:v>
      </x:c>
      <x:c r="H109" s="14" t="n">
        <x:v>1</x:v>
      </x:c>
      <x:c r="I109" s="14" t="n">
        <x:v>0</x:v>
      </x:c>
      <x:c r="J109" s="12" t="str">
        <x:v>Use the subject-specific postsecondary teaching profile.</x:v>
      </x:c>
      <x:c r="K109" s="51" t="str"/>
      <x:c r="L109" s="12" t="str">
        <x:v>full</x:v>
      </x:c>
      <x:c r="M109" s="12" t="str">
        <x:v>None</x:v>
      </x:c>
      <x:c r="N109" s="14" t="n">
        <x:f>C109-E109</x:f>
        <x:v>0</x:v>
      </x:c>
    </x:row>
    <x:row r="110" ht="34.5" customHeight="1">
      <x:c r="A110" s="15" t="str">
        <x:v>742830</x:v>
      </x:c>
      <x:c r="B110" s="12" t="str">
        <x:v>Postsecondary teachers - History</x:v>
      </x:c>
      <x:c r="C110" s="14" t="n">
        <x:v>80</x:v>
      </x:c>
      <x:c r="D110" s="12" t="str">
        <x:v>Include</x:v>
      </x:c>
      <x:c r="E110" s="14" t="n">
        <x:v>80</x:v>
      </x:c>
      <x:c r="F110" s="15" t="str">
        <x:v>25-1125.00</x:v>
      </x:c>
      <x:c r="G110" s="14" t="n">
        <x:v>1</x:v>
      </x:c>
      <x:c r="H110" s="14" t="n">
        <x:v>1</x:v>
      </x:c>
      <x:c r="I110" s="14" t="n">
        <x:v>0</x:v>
      </x:c>
      <x:c r="J110" s="12" t="str">
        <x:v>Use the subject-specific postsecondary teaching profile.</x:v>
      </x:c>
      <x:c r="K110" s="51" t="str"/>
      <x:c r="L110" s="12" t="str">
        <x:v>full</x:v>
      </x:c>
      <x:c r="M110" s="12" t="str">
        <x:v>None</x:v>
      </x:c>
      <x:c r="N110" s="14" t="n">
        <x:f>C110-E110</x:f>
        <x:v>0</x:v>
      </x:c>
    </x:row>
    <x:row r="111" ht="34.5" customHeight="1">
      <x:c r="A111" s="15" t="str">
        <x:v>742880</x:v>
      </x:c>
      <x:c r="B111" s="12" t="str">
        <x:v>Postsecondary teachers - Recreation and fitness studies</x:v>
      </x:c>
      <x:c r="C111" s="14" t="n">
        <x:v>12</x:v>
      </x:c>
      <x:c r="D111" s="12" t="str">
        <x:v>Include</x:v>
      </x:c>
      <x:c r="E111" s="14" t="n">
        <x:v>12</x:v>
      </x:c>
      <x:c r="F111" s="15" t="str">
        <x:v>25-1193.00</x:v>
      </x:c>
      <x:c r="G111" s="14" t="n">
        <x:v>1</x:v>
      </x:c>
      <x:c r="H111" s="14" t="n">
        <x:v>1</x:v>
      </x:c>
      <x:c r="I111" s="14" t="n">
        <x:v>0</x:v>
      </x:c>
      <x:c r="J111" s="12" t="str">
        <x:v>Use the subject-specific postsecondary teaching profile.</x:v>
      </x:c>
      <x:c r="K111" s="51" t="str"/>
      <x:c r="L111" s="12" t="str">
        <x:v>full</x:v>
      </x:c>
      <x:c r="M111" s="12" t="str">
        <x:v>None</x:v>
      </x:c>
      <x:c r="N111" s="14" t="n">
        <x:f>C111-E111</x:f>
        <x:v>0</x:v>
      </x:c>
    </x:row>
    <x:row r="112" ht="37.5" customHeight="1">
      <x:c r="A112" s="15" t="str">
        <x:v>742990</x:v>
      </x:c>
      <x:c r="B112" s="12" t="str">
        <x:v>Postsecondary teachers - Other postsecondary fields</x:v>
      </x:c>
      <x:c r="C112" s="14" t="n">
        <x:v>357</x:v>
      </x:c>
      <x:c r="D112" s="12" t="str">
        <x:v>Include</x:v>
      </x:c>
      <x:c r="E112" s="14" t="n">
        <x:v>357</x:v>
      </x:c>
      <x:c r="F112" s="15" t="str">
        <x:v>Group mean</x:v>
      </x:c>
      <x:c r="G112" s="14" t="n">
        <x:v>10</x:v>
      </x:c>
      <x:c r="H112" s="14" t="n">
        <x:v>9</x:v>
      </x:c>
      <x:c r="I112" s="14" t="n">
        <x:v>0</x:v>
      </x:c>
      <x:c r="J112" s="12" t="str">
        <x:v>SOC25-1000 minus separately listed teaching fields; exclude postsecondary teaching assistants.</x:v>
      </x:c>
      <x:c r="K112" s="51" t="str"/>
      <x:c r="L112" s="12" t="str">
        <x:v>partial</x:v>
      </x:c>
      <x:c r="M112" s="12" t="str">
        <x:v>Remaining occupation group</x:v>
      </x:c>
      <x:c r="N112" s="14" t="n">
        <x:f>C112-E112</x:f>
        <x:v>0</x:v>
      </x:c>
    </x:row>
    <x:row r="113" ht="37.5" customHeight="1">
      <x:c r="A113" s="15" t="str">
        <x:v>750400</x:v>
      </x:c>
      <x:c r="B113" s="12" t="str">
        <x:v>Clergy and other religious workers</x:v>
      </x:c>
      <x:c r="C113" s="14" t="n">
        <x:v>298</x:v>
      </x:c>
      <x:c r="D113" s="12" t="str">
        <x:v>Include</x:v>
      </x:c>
      <x:c r="E113" s="14" t="n">
        <x:v>298</x:v>
      </x:c>
      <x:c r="F113" s="15" t="str">
        <x:v>Group mean</x:v>
      </x:c>
      <x:c r="G113" s="14" t="n">
        <x:v>3</x:v>
      </x:c>
      <x:c r="H113" s="14" t="n">
        <x:v>2</x:v>
      </x:c>
      <x:c r="I113" s="14" t="n">
        <x:v>0</x:v>
      </x:c>
      <x:c r="J113" s="12" t="str">
        <x:v>Clergy, religious activity directors and other religious workers.</x:v>
      </x:c>
      <x:c r="K113" s="51" t="str"/>
      <x:c r="L113" s="12" t="str">
        <x:v>partial</x:v>
      </x:c>
      <x:c r="M113" s="12" t="str">
        <x:v>None</x:v>
      </x:c>
      <x:c r="N113" s="14" t="n">
        <x:f>C113-E113</x:f>
        <x:v>0</x:v>
      </x:c>
    </x:row>
    <x:row r="114" ht="37.5" customHeight="1">
      <x:c r="A114" s="15" t="str">
        <x:v>750700</x:v>
      </x:c>
      <x:c r="B114" s="12" t="str">
        <x:v>Counselors (e.g., educational, vocational, mental health, and substance abuse)</x:v>
      </x:c>
      <x:c r="C114" s="14" t="n">
        <x:v>1190</x:v>
      </x:c>
      <x:c r="D114" s="12" t="str">
        <x:v>Include</x:v>
      </x:c>
      <x:c r="E114" s="14" t="n">
        <x:v>1190</x:v>
      </x:c>
      <x:c r="F114" s="15" t="str">
        <x:v>Group mean</x:v>
      </x:c>
      <x:c r="G114" s="14" t="n">
        <x:v>6</x:v>
      </x:c>
      <x:c r="H114" s="14" t="n">
        <x:v>5</x:v>
      </x:c>
      <x:c r="I114" s="14" t="n">
        <x:v>0</x:v>
      </x:c>
      <x:c r="J114" s="12" t="str">
        <x:v>Educational/career, mental-health, addiction, rehabilitation and other counselors.</x:v>
      </x:c>
      <x:c r="K114" s="51" t="str"/>
      <x:c r="L114" s="12" t="str">
        <x:v>partial</x:v>
      </x:c>
      <x:c r="M114" s="12" t="str">
        <x:v>None</x:v>
      </x:c>
      <x:c r="N114" s="14" t="n">
        <x:f>C114-E114</x:f>
        <x:v>0</x:v>
      </x:c>
    </x:row>
    <x:row r="115" ht="37.5" customHeight="1">
      <x:c r="A115" s="15" t="str">
        <x:v>752400</x:v>
      </x:c>
      <x:c r="B115" s="12" t="str">
        <x:v>Social workers</x:v>
      </x:c>
      <x:c r="C115" s="14" t="n">
        <x:v>446</x:v>
      </x:c>
      <x:c r="D115" s="12" t="str">
        <x:v>Include</x:v>
      </x:c>
      <x:c r="E115" s="14" t="n">
        <x:v>446</x:v>
      </x:c>
      <x:c r="F115" s="15" t="str">
        <x:v>Group mean</x:v>
      </x:c>
      <x:c r="G115" s="14" t="n">
        <x:v>4</x:v>
      </x:c>
      <x:c r="H115" s="14" t="n">
        <x:v>3</x:v>
      </x:c>
      <x:c r="I115" s="14" t="n">
        <x:v>0</x:v>
      </x:c>
      <x:c r="J115" s="12" t="str">
        <x:v>Child/family, healthcare, mental-health and other social workers.</x:v>
      </x:c>
      <x:c r="K115" s="51" t="str"/>
      <x:c r="L115" s="12" t="str">
        <x:v>partial</x:v>
      </x:c>
      <x:c r="M115" s="12" t="str">
        <x:v>None</x:v>
      </x:c>
      <x:c r="N115" s="14" t="n">
        <x:f>C115-E115</x:f>
        <x:v>0</x:v>
      </x:c>
    </x:row>
    <x:row r="116" ht="37.5" customHeight="1">
      <x:c r="A116" s="15" t="str">
        <x:v>752410</x:v>
      </x:c>
      <x:c r="B116" s="12" t="str">
        <x:v>Miscellaneous community and social service specialists (e.g., probation officers and correctional treatment specialists)</x:v>
      </x:c>
      <x:c r="C116" s="14" t="n">
        <x:v>659</x:v>
      </x:c>
      <x:c r="D116" s="12" t="str">
        <x:v>Include</x:v>
      </x:c>
      <x:c r="E116" s="14" t="n">
        <x:v>659</x:v>
      </x:c>
      <x:c r="F116" s="15" t="str">
        <x:v>Group mean</x:v>
      </x:c>
      <x:c r="G116" s="14" t="n">
        <x:v>5</x:v>
      </x:c>
      <x:c r="H116" s="14" t="n">
        <x:v>4</x:v>
      </x:c>
      <x:c r="I116" s="14" t="n">
        <x:v>0</x:v>
      </x:c>
      <x:c r="J116" s="12" t="str">
        <x:v>SOC21-109 community and social service specialists.</x:v>
      </x:c>
      <x:c r="K116" s="51" t="str"/>
      <x:c r="L116" s="12" t="str">
        <x:v>partial</x:v>
      </x:c>
      <x:c r="M116" s="12" t="str">
        <x:v>None</x:v>
      </x:c>
      <x:c r="N116" s="14" t="n">
        <x:f>C116-E116</x:f>
        <x:v>0</x:v>
      </x:c>
    </x:row>
    <x:row r="117" ht="37.5" customHeight="1">
      <x:c r="A117" s="15" t="str">
        <x:v>762000</x:v>
      </x:c>
      <x:c r="B117" s="12" t="str">
        <x:v>Sales representatives: services (e.g., insurance, securities, real estate, and business services)</x:v>
      </x:c>
      <x:c r="C117" s="14" t="n">
        <x:v>1147</x:v>
      </x:c>
      <x:c r="D117" s="12" t="str">
        <x:v>Include</x:v>
      </x:c>
      <x:c r="E117" s="14" t="n">
        <x:v>1147</x:v>
      </x:c>
      <x:c r="F117" s="15" t="str">
        <x:v>Group mean</x:v>
      </x:c>
      <x:c r="G117" s="14" t="n">
        <x:v>7</x:v>
      </x:c>
      <x:c r="H117" s="14" t="n">
        <x:v>6</x:v>
      </x:c>
      <x:c r="I117" s="14" t="n">
        <x:v>0</x:v>
      </x:c>
      <x:c r="J117" s="12" t="str">
        <x:v>Insurance, securities, service and real-estate sales; exclude separately listed sales engineers.</x:v>
      </x:c>
      <x:c r="K117" s="51" t="str"/>
      <x:c r="L117" s="12" t="str">
        <x:v>partial</x:v>
      </x:c>
      <x:c r="M117" s="12" t="str">
        <x:v>None</x:v>
      </x:c>
      <x:c r="N117" s="14" t="n">
        <x:f>C117-E117</x:f>
        <x:v>0</x:v>
      </x:c>
    </x:row>
    <x:row r="118" ht="37.5" customHeight="1">
      <x:c r="A118" s="15" t="str">
        <x:v>762010</x:v>
      </x:c>
      <x:c r="B118" s="12" t="str">
        <x:v>Sales representatives: wholesale and manufacturing (e.g., industrial machinery/equipment/supplies)</x:v>
      </x:c>
      <x:c r="C118" s="14" t="n">
        <x:v>506</x:v>
      </x:c>
      <x:c r="D118" s="12" t="str">
        <x:v>Include</x:v>
      </x:c>
      <x:c r="E118" s="14" t="n">
        <x:v>506</x:v>
      </x:c>
      <x:c r="F118" s="15" t="str">
        <x:v>Group mean</x:v>
      </x:c>
      <x:c r="G118" s="14" t="n">
        <x:v>2</x:v>
      </x:c>
      <x:c r="H118" s="14" t="n">
        <x:v>2</x:v>
      </x:c>
      <x:c r="I118" s="14" t="n">
        <x:v>0</x:v>
      </x:c>
      <x:c r="J118" s="12" t="str">
        <x:v>Wholesale/manufacturing sales of technical/scientific and other products.</x:v>
      </x:c>
      <x:c r="K118" s="51" t="str"/>
      <x:c r="L118" s="12" t="str">
        <x:v>full</x:v>
      </x:c>
      <x:c r="M118" s="12" t="str">
        <x:v>None</x:v>
      </x:c>
      <x:c r="N118" s="14" t="n">
        <x:f>C118-E118</x:f>
        <x:v>0</x:v>
      </x:c>
    </x:row>
    <x:row r="119" ht="37.5" customHeight="1">
      <x:c r="A119" s="15" t="str">
        <x:v>762020</x:v>
      </x:c>
      <x:c r="B119" s="12" t="str">
        <x:v>Retail sales workers (e.g., furnishings, clothing, motor vehicles, cosmetics)</x:v>
      </x:c>
      <x:c r="C119" s="14" t="n">
        <x:v>594</x:v>
      </x:c>
      <x:c r="D119" s="12" t="str">
        <x:v>Include</x:v>
      </x:c>
      <x:c r="E119" s="14" t="n">
        <x:v>594</x:v>
      </x:c>
      <x:c r="F119" s="15" t="str">
        <x:v>Group mean</x:v>
      </x:c>
      <x:c r="G119" s="14" t="n">
        <x:v>6</x:v>
      </x:c>
      <x:c r="H119" s="14" t="n">
        <x:v>6</x:v>
      </x:c>
      <x:c r="I119" s="14" t="n">
        <x:v>0</x:v>
      </x:c>
      <x:c r="J119" s="12" t="str">
        <x:v>Retail sales, cashiers, counter/parts sales and retail supervisors.</x:v>
      </x:c>
      <x:c r="K119" s="51" t="str"/>
      <x:c r="L119" s="12" t="str">
        <x:v>full</x:v>
      </x:c>
      <x:c r="M119" s="12" t="str">
        <x:v>None</x:v>
      </x:c>
      <x:c r="N119" s="14" t="n">
        <x:f>C119-E119</x:f>
        <x:v>0</x:v>
      </x:c>
    </x:row>
    <x:row r="120" ht="37.5" customHeight="1">
      <x:c r="A120" s="15" t="str">
        <x:v>762030</x:v>
      </x:c>
      <x:c r="B120" s="12" t="str">
        <x:v>Miscellaneous sales and related workers</x:v>
      </x:c>
      <x:c r="C120" s="14" t="n">
        <x:v>851</x:v>
      </x:c>
      <x:c r="D120" s="12" t="str">
        <x:v>Include</x:v>
      </x:c>
      <x:c r="E120" s="14" t="n">
        <x:v>851</x:v>
      </x:c>
      <x:c r="F120" s="15" t="str">
        <x:v>Group mean</x:v>
      </x:c>
      <x:c r="G120" s="14" t="n">
        <x:v>6</x:v>
      </x:c>
      <x:c r="H120" s="14" t="n">
        <x:v>5</x:v>
      </x:c>
      <x:c r="I120" s="14" t="n">
        <x:v>0</x:v>
      </x:c>
      <x:c r="J120" s="12" t="str">
        <x:v>Nonretail sales supervisors, demonstrators, models, telemarketers and other sales workers.</x:v>
      </x:c>
      <x:c r="K120" s="51" t="str"/>
      <x:c r="L120" s="12" t="str">
        <x:v>partial</x:v>
      </x:c>
      <x:c r="M120" s="12" t="str">
        <x:v>None</x:v>
      </x:c>
      <x:c r="N120" s="14" t="n">
        <x:f>C120-E120</x:f>
        <x:v>0</x:v>
      </x:c>
    </x:row>
    <x:row r="121" ht="37.5" customHeight="1">
      <x:c r="A121" s="15" t="str">
        <x:v>770100</x:v>
      </x:c>
      <x:c r="B121" s="12" t="str">
        <x:v>Writers, editors, public relations specialists, artists, entertainers, broadcasters, and historiansd</x:v>
      </x:c>
      <x:c r="C121" s="14" t="n">
        <x:v>1206</x:v>
      </x:c>
      <x:c r="D121" s="12" t="str">
        <x:v>Include</x:v>
      </x:c>
      <x:c r="E121" s="14" t="n">
        <x:v>1206</x:v>
      </x:c>
      <x:c r="F121" s="15" t="str">
        <x:v>Group mean</x:v>
      </x:c>
      <x:c r="G121" s="14" t="n">
        <x:v>42</x:v>
      </x:c>
      <x:c r="H121" s="14" t="n">
        <x:v>35</x:v>
      </x:c>
      <x:c r="I121" s="14" t="n">
        <x:v>0</x:v>
      </x:c>
      <x:c r="J121" s="12" t="str">
        <x:v>SOC27 arts/design/entertainment/sports/media plus historians; a broad occupational background.</x:v>
      </x:c>
      <x:c r="K121" s="51" t="str"/>
      <x:c r="L121" s="12" t="str">
        <x:v>partial</x:v>
      </x:c>
      <x:c r="M121" s="12" t="str">
        <x:v>None</x:v>
      </x:c>
      <x:c r="N121" s="14" t="n">
        <x:f>C121-E121</x:f>
        <x:v>0</x:v>
      </x:c>
    </x:row>
    <x:row r="122" ht="34.5" customHeight="1">
      <x:c r="A122" s="15" t="str">
        <x:v>780310</x:v>
      </x:c>
      <x:c r="B122" s="12" t="str">
        <x:v>Bookkeeping, accounting, and auditing clerks</x:v>
      </x:c>
      <x:c r="C122" s="14" t="n">
        <x:v>455</x:v>
      </x:c>
      <x:c r="D122" s="12" t="str">
        <x:v>Include</x:v>
      </x:c>
      <x:c r="E122" s="14" t="n">
        <x:v>378</x:v>
      </x:c>
      <x:c r="F122" s="15" t="str">
        <x:v>43-3031.00</x:v>
      </x:c>
      <x:c r="G122" s="14" t="n">
        <x:v>1</x:v>
      </x:c>
      <x:c r="H122" s="14" t="n">
        <x:v>1</x:v>
      </x:c>
      <x:c r="I122" s="14" t="n">
        <x:v>77</x:v>
      </x:c>
      <x:c r="J122" s="12" t="str">
        <x:v>Require SUPWK=N; exclude 77 respondents who do not meet this condition.</x:v>
      </x:c>
      <x:c r="K122" s="51" t="str"/>
      <x:c r="L122" s="12" t="str">
        <x:v>full</x:v>
      </x:c>
      <x:c r="M122" s="12" t="str">
        <x:v>None</x:v>
      </x:c>
      <x:c r="N122" s="14" t="n">
        <x:f>C122-E122</x:f>
        <x:v>77</x:v>
      </x:c>
    </x:row>
    <x:row r="123" ht="34.5" customHeight="1">
      <x:c r="A123" s="15" t="str">
        <x:v>780320</x:v>
      </x:c>
      <x:c r="B123" s="12" t="str">
        <x:v>Secretaries and administrative assistants, and receptionists</x:v>
      </x:c>
      <x:c r="C123" s="14" t="n">
        <x:v>574</x:v>
      </x:c>
      <x:c r="D123" s="12" t="str">
        <x:v>Include</x:v>
      </x:c>
      <x:c r="E123" s="14" t="n">
        <x:v>574</x:v>
      </x:c>
      <x:c r="F123" s="15" t="str">
        <x:v>Group mean</x:v>
      </x:c>
      <x:c r="G123" s="14" t="n">
        <x:v>5</x:v>
      </x:c>
      <x:c r="H123" s="14" t="n">
        <x:v>5</x:v>
      </x:c>
      <x:c r="I123" s="14" t="n">
        <x:v>0</x:v>
      </x:c>
      <x:c r="J123" s="12" t="str">
        <x:v>Four secretary/administrative-assistant occupations plus receptionists.</x:v>
      </x:c>
      <x:c r="K123" s="51" t="str"/>
      <x:c r="L123" s="12" t="str">
        <x:v>full</x:v>
      </x:c>
      <x:c r="M123" s="12" t="str">
        <x:v>None</x:v>
      </x:c>
      <x:c r="N123" s="14" t="n">
        <x:f>C123-E123</x:f>
        <x:v>0</x:v>
      </x:c>
    </x:row>
    <x:row r="124" ht="50.25" customHeight="1">
      <x:c r="A124" s="15" t="str">
        <x:v>780330</x:v>
      </x:c>
      <x:c r="B124" s="12" t="str">
        <x:v>Other office and administrative support workers</x:v>
      </x:c>
      <x:c r="C124" s="14" t="n">
        <x:v>1955</x:v>
      </x:c>
      <x:c r="D124" s="12" t="str">
        <x:v>Include</x:v>
      </x:c>
      <x:c r="E124" s="14" t="n">
        <x:v>1955</x:v>
      </x:c>
      <x:c r="F124" s="15" t="str">
        <x:v>Group mean</x:v>
      </x:c>
      <x:c r="G124" s="14" t="n">
        <x:v>48</x:v>
      </x:c>
      <x:c r="H124" s="14" t="n">
        <x:v>44</x:v>
      </x:c>
      <x:c r="I124" s="14" t="n">
        <x:v>0</x:v>
      </x:c>
      <x:c r="J124" s="12" t="str">
        <x:v>SOC43 minus bookkeeping, secretaries/administrative assistants and receptionists; office supervisors remain included.</x:v>
      </x:c>
      <x:c r="K124" s="51" t="str"/>
      <x:c r="L124" s="12" t="str">
        <x:v>partial</x:v>
      </x:c>
      <x:c r="M124" s="12" t="str">
        <x:v>Remaining occupation group</x:v>
      </x:c>
      <x:c r="N124" s="14" t="n">
        <x:f>C124-E124</x:f>
        <x:v>0</x:v>
      </x:c>
    </x:row>
    <x:row r="125" ht="37.5" customHeight="1">
      <x:c r="A125" s="15" t="str">
        <x:v>781100</x:v>
      </x:c>
      <x:c r="B125" s="12" t="str">
        <x:v>Farming, fishing, and forestry occupations</x:v>
      </x:c>
      <x:c r="C125" s="14" t="n">
        <x:v>593</x:v>
      </x:c>
      <x:c r="D125" s="12" t="str">
        <x:v>Include</x:v>
      </x:c>
      <x:c r="E125" s="14" t="n">
        <x:v>593</x:v>
      </x:c>
      <x:c r="F125" s="15" t="str">
        <x:v>Group mean</x:v>
      </x:c>
      <x:c r="G125" s="14" t="n">
        <x:v>14</x:v>
      </x:c>
      <x:c r="H125" s="14" t="n">
        <x:v>12</x:v>
      </x:c>
      <x:c r="I125" s="14" t="n">
        <x:v>0</x:v>
      </x:c>
      <x:c r="J125" s="12" t="str">
        <x:v>SOC45 farming, fishing and forestry occupations.</x:v>
      </x:c>
      <x:c r="K125" s="51" t="str"/>
      <x:c r="L125" s="12" t="str">
        <x:v>partial</x:v>
      </x:c>
      <x:c r="M125" s="12" t="str">
        <x:v>None</x:v>
      </x:c>
      <x:c r="N125" s="14" t="n">
        <x:f>C125-E125</x:f>
        <x:v>0</x:v>
      </x:c>
    </x:row>
    <x:row r="126" ht="34.5" customHeight="1">
      <x:c r="A126" s="15" t="str">
        <x:v>781200</x:v>
      </x:c>
      <x:c r="B126" s="12" t="str">
        <x:v>Lawyers, judges, and related workers</x:v>
      </x:c>
      <x:c r="C126" s="14" t="n">
        <x:v>1192</x:v>
      </x:c>
      <x:c r="D126" s="12" t="str">
        <x:v>Include</x:v>
      </x:c>
      <x:c r="E126" s="14" t="n">
        <x:v>1192</x:v>
      </x:c>
      <x:c r="F126" s="15" t="str">
        <x:v>Group mean</x:v>
      </x:c>
      <x:c r="G126" s="14" t="n">
        <x:v>5</x:v>
      </x:c>
      <x:c r="H126" s="14" t="n">
        <x:v>5</x:v>
      </x:c>
      <x:c r="I126" s="14" t="n">
        <x:v>0</x:v>
      </x:c>
      <x:c r="J126" s="12" t="str">
        <x:v>SOC23-1000 lawyers, judges and related workers.</x:v>
      </x:c>
      <x:c r="K126" s="51" t="str"/>
      <x:c r="L126" s="12" t="str">
        <x:v>full</x:v>
      </x:c>
      <x:c r="M126" s="12" t="str">
        <x:v>None</x:v>
      </x:c>
      <x:c r="N126" s="14" t="n">
        <x:f>C126-E126</x:f>
        <x:v>0</x:v>
      </x:c>
    </x:row>
    <x:row r="127" ht="37.5" customHeight="1">
      <x:c r="A127" s="15" t="str">
        <x:v>781250</x:v>
      </x:c>
      <x:c r="B127" s="12" t="str">
        <x:v>Legal support workers (e.g., paralegals, legal assistants)</x:v>
      </x:c>
      <x:c r="C127" s="14" t="n">
        <x:v>287</x:v>
      </x:c>
      <x:c r="D127" s="12" t="str">
        <x:v>Include</x:v>
      </x:c>
      <x:c r="E127" s="14" t="n">
        <x:v>287</x:v>
      </x:c>
      <x:c r="F127" s="15" t="str">
        <x:v>Group mean</x:v>
      </x:c>
      <x:c r="G127" s="14" t="n">
        <x:v>3</x:v>
      </x:c>
      <x:c r="H127" s="14" t="n">
        <x:v>2</x:v>
      </x:c>
      <x:c r="I127" s="14" t="n">
        <x:v>0</x:v>
      </x:c>
      <x:c r="J127" s="12" t="str">
        <x:v>SOC23-2000 legal support occupations.</x:v>
      </x:c>
      <x:c r="K127" s="51" t="str"/>
      <x:c r="L127" s="12" t="str">
        <x:v>partial</x:v>
      </x:c>
      <x:c r="M127" s="12" t="str">
        <x:v>None</x:v>
      </x:c>
      <x:c r="N127" s="14" t="n">
        <x:f>C127-E127</x:f>
        <x:v>0</x:v>
      </x:c>
    </x:row>
    <x:row r="128" ht="37.5" customHeight="1">
      <x:c r="A128" s="15" t="str">
        <x:v>781300</x:v>
      </x:c>
      <x:c r="B128" s="12" t="str">
        <x:v>Librarians, archivists, and curators</x:v>
      </x:c>
      <x:c r="C128" s="14" t="n">
        <x:v>235</x:v>
      </x:c>
      <x:c r="D128" s="12" t="str">
        <x:v>Include</x:v>
      </x:c>
      <x:c r="E128" s="14" t="n">
        <x:v>235</x:v>
      </x:c>
      <x:c r="F128" s="15" t="str">
        <x:v>Group mean</x:v>
      </x:c>
      <x:c r="G128" s="14" t="n">
        <x:v>5</x:v>
      </x:c>
      <x:c r="H128" s="14" t="n">
        <x:v>5</x:v>
      </x:c>
      <x:c r="I128" s="14" t="n">
        <x:v>0</x:v>
      </x:c>
      <x:c r="J128" s="12" t="str">
        <x:v>All five SOC25-4000 occupations, including library and museum technicians.</x:v>
      </x:c>
      <x:c r="K128" s="51" t="str"/>
      <x:c r="L128" s="12" t="str">
        <x:v>full</x:v>
      </x:c>
      <x:c r="M128" s="12" t="str">
        <x:v>Full occupation family</x:v>
      </x:c>
      <x:c r="N128" s="14" t="n">
        <x:f>C128-E128</x:f>
        <x:v>0</x:v>
      </x:c>
    </x:row>
    <x:row r="129" ht="37.5" customHeight="1">
      <x:c r="A129" s="15" t="str">
        <x:v>782210</x:v>
      </x:c>
      <x:c r="B129" s="12" t="str">
        <x:v>Food preparation and service occupations (e.g., cooks, waitresses, bartenders)</x:v>
      </x:c>
      <x:c r="C129" s="14" t="n">
        <x:v>346</x:v>
      </x:c>
      <x:c r="D129" s="12" t="str">
        <x:v>Include</x:v>
      </x:c>
      <x:c r="E129" s="14" t="n">
        <x:v>346</x:v>
      </x:c>
      <x:c r="F129" s="15" t="str">
        <x:v>Group mean</x:v>
      </x:c>
      <x:c r="G129" s="14" t="n">
        <x:v>17</x:v>
      </x:c>
      <x:c r="H129" s="14" t="n">
        <x:v>15</x:v>
      </x:c>
      <x:c r="I129" s="14" t="n">
        <x:v>0</x:v>
      </x:c>
      <x:c r="J129" s="12" t="str">
        <x:v>SOC35 food preparation and serving occupations.</x:v>
      </x:c>
      <x:c r="K129" s="51" t="str"/>
      <x:c r="L129" s="12" t="str">
        <x:v>partial</x:v>
      </x:c>
      <x:c r="M129" s="12" t="str">
        <x:v>None</x:v>
      </x:c>
      <x:c r="N129" s="14" t="n">
        <x:f>C129-E129</x:f>
        <x:v>0</x:v>
      </x:c>
    </x:row>
    <x:row r="130" ht="37.5" customHeight="1">
      <x:c r="A130" s="15" t="str">
        <x:v>782220</x:v>
      </x:c>
      <x:c r="B130" s="12" t="str">
        <x:v>Protective services occupations (e.g., firefighters, police, guards, wardens, park rangers)</x:v>
      </x:c>
      <x:c r="C130" s="14" t="n">
        <x:v>419</x:v>
      </x:c>
      <x:c r="D130" s="12" t="str">
        <x:v>Include</x:v>
      </x:c>
      <x:c r="E130" s="14" t="n">
        <x:v>419</x:v>
      </x:c>
      <x:c r="F130" s="15" t="str">
        <x:v>Group mean</x:v>
      </x:c>
      <x:c r="G130" s="14" t="n">
        <x:v>24</x:v>
      </x:c>
      <x:c r="H130" s="14" t="n">
        <x:v>20</x:v>
      </x:c>
      <x:c r="I130" s="14" t="n">
        <x:v>0</x:v>
      </x:c>
      <x:c r="J130" s="12" t="str">
        <x:v>SOC33 protective service occupations.</x:v>
      </x:c>
      <x:c r="K130" s="51" t="str"/>
      <x:c r="L130" s="12" t="str">
        <x:v>partial</x:v>
      </x:c>
      <x:c r="M130" s="12" t="str">
        <x:v>None</x:v>
      </x:c>
      <x:c r="N130" s="14" t="n">
        <x:f>C130-E130</x:f>
        <x:v>0</x:v>
      </x:c>
    </x:row>
    <x:row r="131" ht="50.25" customHeight="1">
      <x:c r="A131" s="15" t="str">
        <x:v>782230</x:v>
      </x:c>
      <x:c r="B131" s="12" t="str">
        <x:v>Other service occupations, except health (e.g., personal care service occupations, building and grounds cleaning and maintenance occupations, etc.)</x:v>
      </x:c>
      <x:c r="C131" s="14" t="n">
        <x:v>739</x:v>
      </x:c>
      <x:c r="D131" s="12" t="str">
        <x:v>Include</x:v>
      </x:c>
      <x:c r="E131" s="14" t="n">
        <x:v>739</x:v>
      </x:c>
      <x:c r="F131" s="15" t="str">
        <x:v>Group mean</x:v>
      </x:c>
      <x:c r="G131" s="14" t="n">
        <x:v>43</x:v>
      </x:c>
      <x:c r="H131" s="14" t="n">
        <x:v>36</x:v>
      </x:c>
      <x:c r="I131" s="14" t="n">
        <x:v>0</x:v>
      </x:c>
      <x:c r="J131" s="12" t="str">
        <x:v>SOC37 building/grounds maintenance plus SOC39 personal care; exclude healthcare support.</x:v>
      </x:c>
      <x:c r="K131" s="51" t="str"/>
      <x:c r="L131" s="12" t="str">
        <x:v>partial</x:v>
      </x:c>
      <x:c r="M131" s="12" t="str">
        <x:v>None</x:v>
      </x:c>
      <x:c r="N131" s="14" t="n">
        <x:f>C131-E131</x:f>
        <x:v>0</x:v>
      </x:c>
    </x:row>
    <x:row r="132" ht="50.25" customHeight="1">
      <x:c r="A132" s="15" t="str">
        <x:v>783000</x:v>
      </x:c>
      <x:c r="B132" s="12" t="str">
        <x:v>Other teachers and instructors (e.g., private tutors, dance or flying instructors, martial arts instructors)</x:v>
      </x:c>
      <x:c r="C132" s="14" t="n">
        <x:v>661</x:v>
      </x:c>
      <x:c r="D132" s="12" t="str">
        <x:v>Include</x:v>
      </x:c>
      <x:c r="E132" s="14" t="n">
        <x:v>661</x:v>
      </x:c>
      <x:c r="F132" s="15" t="str">
        <x:v>Group mean</x:v>
      </x:c>
      <x:c r="G132" s="14" t="n">
        <x:v>8</x:v>
      </x:c>
      <x:c r="H132" s="14" t="n">
        <x:v>7</x:v>
      </x:c>
      <x:c r="I132" s="14" t="n">
        <x:v>0</x:v>
      </x:c>
      <x:c r="J132" s="12" t="str">
        <x:v>Tutoring, self-enrichment, farm/home education, sports/fitness and flight instruction. Pilot and coaching profiles also include non-teaching duties.</x:v>
      </x:c>
      <x:c r="K132" s="51" t="str"/>
      <x:c r="L132" s="12" t="str">
        <x:v>partial</x:v>
      </x:c>
      <x:c r="M132" s="12" t="str">
        <x:v>Broader pilot and coaching profiles</x:v>
      </x:c>
      <x:c r="N132" s="14" t="n">
        <x:f>C132-E132</x:f>
        <x:v>0</x:v>
      </x:c>
    </x:row>
    <x:row r="133" ht="37.5" customHeight="1">
      <x:c r="A133" s="15" t="str">
        <x:v>784010</x:v>
      </x:c>
      <x:c r="B133" s="12" t="str">
        <x:v>Construction and extraction occupations</x:v>
      </x:c>
      <x:c r="C133" s="14" t="n">
        <x:v>229</x:v>
      </x:c>
      <x:c r="D133" s="12" t="str">
        <x:v>Include</x:v>
      </x:c>
      <x:c r="E133" s="14" t="n">
        <x:v>229</x:v>
      </x:c>
      <x:c r="F133" s="15" t="str">
        <x:v>Group mean</x:v>
      </x:c>
      <x:c r="G133" s="14" t="n">
        <x:v>61</x:v>
      </x:c>
      <x:c r="H133" s="14" t="n">
        <x:v>57</x:v>
      </x:c>
      <x:c r="I133" s="14" t="n">
        <x:v>0</x:v>
      </x:c>
      <x:c r="J133" s="12" t="str">
        <x:v>SOC47 construction and extraction occupations.</x:v>
      </x:c>
      <x:c r="K133" s="51" t="str"/>
      <x:c r="L133" s="12" t="str">
        <x:v>partial</x:v>
      </x:c>
      <x:c r="M133" s="12" t="str">
        <x:v>None</x:v>
      </x:c>
      <x:c r="N133" s="14" t="n">
        <x:f>C133-E133</x:f>
        <x:v>0</x:v>
      </x:c>
    </x:row>
    <x:row r="134" ht="37.5" customHeight="1">
      <x:c r="A134" s="15" t="str">
        <x:v>784020</x:v>
      </x:c>
      <x:c r="B134" s="12" t="str">
        <x:v>Installation, maintenance, and repair occupations</x:v>
      </x:c>
      <x:c r="C134" s="14" t="n">
        <x:v>206</x:v>
      </x:c>
      <x:c r="D134" s="12" t="str">
        <x:v>Include</x:v>
      </x:c>
      <x:c r="E134" s="14" t="n">
        <x:v>206</x:v>
      </x:c>
      <x:c r="F134" s="15" t="str">
        <x:v>Group mean</x:v>
      </x:c>
      <x:c r="G134" s="14" t="n">
        <x:v>51</x:v>
      </x:c>
      <x:c r="H134" s="14" t="n">
        <x:v>49</x:v>
      </x:c>
      <x:c r="I134" s="14" t="n">
        <x:v>0</x:v>
      </x:c>
      <x:c r="J134" s="12" t="str">
        <x:v>SOC49 installation, maintenance and repair occupations.</x:v>
      </x:c>
      <x:c r="K134" s="51" t="str"/>
      <x:c r="L134" s="12" t="str">
        <x:v>partial</x:v>
      </x:c>
      <x:c r="M134" s="12" t="str">
        <x:v>None</x:v>
      </x:c>
      <x:c r="N134" s="14" t="n">
        <x:f>C134-E134</x:f>
        <x:v>0</x:v>
      </x:c>
    </x:row>
    <x:row r="135" ht="37.5" customHeight="1">
      <x:c r="A135" s="15" t="str">
        <x:v>784030</x:v>
      </x:c>
      <x:c r="B135" s="12" t="str">
        <x:v>Production occupations (e.g., assemblers, bakers, metal workers, tailors, woodworkers)</x:v>
      </x:c>
      <x:c r="C135" s="14" t="n">
        <x:v>383</x:v>
      </x:c>
      <x:c r="D135" s="12" t="str">
        <x:v>Include</x:v>
      </x:c>
      <x:c r="E135" s="14" t="n">
        <x:v>383</x:v>
      </x:c>
      <x:c r="F135" s="15" t="str">
        <x:v>Group mean</x:v>
      </x:c>
      <x:c r="G135" s="14" t="n">
        <x:v>107</x:v>
      </x:c>
      <x:c r="H135" s="14" t="n">
        <x:v>100</x:v>
      </x:c>
      <x:c r="I135" s="14" t="n">
        <x:v>0</x:v>
      </x:c>
      <x:c r="J135" s="12" t="str">
        <x:v>SOC51 production occupations.</x:v>
      </x:c>
      <x:c r="K135" s="51" t="str"/>
      <x:c r="L135" s="12" t="str">
        <x:v>partial</x:v>
      </x:c>
      <x:c r="M135" s="12" t="str">
        <x:v>None</x:v>
      </x:c>
      <x:c r="N135" s="14" t="n">
        <x:f>C135-E135</x:f>
        <x:v>0</x:v>
      </x:c>
    </x:row>
    <x:row r="136" ht="37.5" customHeight="1">
      <x:c r="A136" s="15" t="str">
        <x:v>784050</x:v>
      </x:c>
      <x:c r="B136" s="12" t="str">
        <x:v>Transportation and material moving occupations</x:v>
      </x:c>
      <x:c r="C136" s="14" t="n">
        <x:v>402</x:v>
      </x:c>
      <x:c r="D136" s="12" t="str">
        <x:v>Include</x:v>
      </x:c>
      <x:c r="E136" s="14" t="n">
        <x:v>402</x:v>
      </x:c>
      <x:c r="F136" s="15" t="str">
        <x:v>Group mean</x:v>
      </x:c>
      <x:c r="G136" s="14" t="n">
        <x:v>53</x:v>
      </x:c>
      <x:c r="H136" s="14" t="n">
        <x:v>43</x:v>
      </x:c>
      <x:c r="I136" s="14" t="n">
        <x:v>0</x:v>
      </x:c>
      <x:c r="J136" s="12" t="str">
        <x:v>SOC53 transportation and material-moving occupations.</x:v>
      </x:c>
      <x:c r="K136" s="51" t="str"/>
      <x:c r="L136" s="12" t="str">
        <x:v>partial</x:v>
      </x:c>
      <x:c r="M136" s="12" t="str">
        <x:v>None</x:v>
      </x:c>
      <x:c r="N136" s="14" t="n">
        <x:f>C136-E136</x:f>
        <x:v>0</x:v>
      </x:c>
    </x:row>
    <x:row r="137" ht="37.5" customHeight="1">
      <x:c r="A137" s="15" t="str">
        <x:v>785000</x:v>
      </x:c>
      <x:c r="B137" s="12" t="str">
        <x:v>Other occupations (not elsewhere classified)</x:v>
      </x:c>
      <x:c r="C137" s="14" t="n">
        <x:v>377</x:v>
      </x:c>
      <x:c r="D137" s="12" t="str">
        <x:v>Exclude (uncertain mapping)</x:v>
      </x:c>
      <x:c r="E137" s="14" t="n">
        <x:v>0</x:v>
      </x:c>
      <x:c r="F137" s="15" t="str"/>
      <x:c r="G137" s="14" t="n">
        <x:v>0</x:v>
      </x:c>
      <x:c r="H137" s="14" t="n">
        <x:v>0</x:v>
      </x:c>
      <x:c r="I137" s="14" t="n">
        <x:v>0</x:v>
      </x:c>
      <x:c r="J137" s="12" t="str">
        <x:v>No identifiable occupation group; do not substitute an arbitrary All Other profile or an all-occupation mean.</x:v>
      </x:c>
      <x:c r="K137" s="51" t="str"/>
      <x:c r="L137" s="12" t="str">
        <x:v>Not applicable</x:v>
      </x:c>
      <x:c r="M137" s="12" t="str">
        <x:v>None</x:v>
      </x:c>
      <x:c r="N137" s="14" t="n">
        <x:f>C137-E137</x:f>
        <x:v>377</x:v>
      </x:c>
    </x:row>
    <x:row r="140" ht="36" customHeight="1">
      <x:c r="M140"/>
      <x:c r="N140"/>
      <x:c r="P140" s="17" t="str">
        <x:v>Sources / rules</x:v>
      </x:c>
      <x:c r="Q140" s="17" t="str">
        <x:v>2026-10-31</x:v>
      </x:c>
    </x:row>
    <x:row r="141" ht="36" customHeight="1">
      <x:c r="M141"/>
      <x:c r="N141"/>
      <x:c r="P141" s="17" t="str">
        <x:v>NSCG sample</x:v>
      </x:c>
      <x:c r="Q141" s="17" t="str">
        <x:v>NSCG 2023: data/nscg/pcg23Public/epcg23.csv</x:v>
      </x:c>
    </x:row>
    <x:row r="142" ht="36" customHeight="1">
      <x:c r="M142"/>
      <x:c r="N142"/>
      <x:c r="P142" s="17" t="str">
        <x:v>Occupation labels</x:v>
      </x:c>
      <x:c r="Q142" s="17" t="str">
        <x:v>NCSES Table A-2: data/nscg/nsf25322-taba-002.xlsx</x:v>
      </x:c>
    </x:row>
    <x:row r="143" ht="36" customHeight="1">
      <x:c r="M143"/>
      <x:c r="N143"/>
      <x:c r="P143" s="17" t="str">
        <x:v>Questionnaire</x:v>
      </x:c>
      <x:c r="Q143" s="17" t="str">
        <x:v>2023-NSCG-21_annotated_7Aug25.pdf, job categories pp. 20–21</x:v>
      </x:c>
    </x:row>
    <x:row r="144" ht="36" customHeight="1">
      <x:c r="M144"/>
      <x:c r="N144"/>
      <x:c r="P144" s="17" t="str">
        <x:v>Occupation definitions</x:v>
      </x:c>
      <x:c r="Q144" s="17" t="str">
        <x:v>https://www.bls.gov/soc/2018/major_groups.htm</x:v>
      </x:c>
    </x:row>
    <x:row r="145" ht="36" customHeight="1">
      <x:c r="M145"/>
      <x:c r="N145"/>
      <x:c r="P145" s="17" t="str">
        <x:v>O*NET ratings</x:v>
      </x:c>
      <x:c r="Q145" s="17" t="str">
        <x:v>O*NET 30.2: Occupation Data.txt and Work Values.txt (EX, 1–7)</x:v>
      </x:c>
    </x:row>
    <x:row r="146" ht="36" customHeight="1">
      <x:c r="M146"/>
      <x:c r="N146"/>
      <x:c r="P146" s="17" t="str">
        <x:v>Candidate enumeration</x:v>
      </x:c>
      <x:c r="Q146" s="17" t="str">
        <x:v>https://github.com/Break-Through-Tech/Swytch-2C-predicting-job-satisfaction-from-person-job-fit/blob/af0514f4286457966dca81bfffbd08b2c43f59e0/data/crosswalks/ncses_to_soc2018.csv</x:v>
      </x:c>
    </x:row>
    <x:row r="147" ht="36" customHeight="1">
      <x:c r="M147"/>
      <x:c r="N147"/>
      <x:c r="P147" s="17" t="str">
        <x:v>Mapping status</x:v>
      </x:c>
      <x:c r="Q147" s="17" t="str">
        <x:v>Study-defined groups. Only .00 profiles; equal occupation weights for each of six Work Values.</x:v>
      </x:c>
    </x:row>
    <x:row r="148" ht="36" customHeight="1">
      <x:c r="M148"/>
      <x:c r="N148"/>
      <x:c r="P148" s="17" t="str">
        <x:v>Supervisor screen</x:v>
      </x:c>
      <x:c r="Q148" s="17" t="str">
        <x:v>Sales engineers and bookkeeping clerks require SUPWK=N; 168 people excluded.</x:v>
      </x:c>
    </x:row>
    <x:row r="149" ht="36" customHeight="1">
      <x:c r="M149"/>
      <x:c r="N149"/>
      <x:c r="P149" s="17" t="str">
        <x:v>Final selection</x:v>
      </x:c>
      <x:c r="Q149" s="17" t="str">
        <x:v>123 of 129 categories / 74,016 of 79,800 people; 5,784 excluded.</x:v>
      </x:c>
    </x:row>
    <x:row r="150" ht="36" customHeight="1">
      <x:c r="M150"/>
      <x:c r="N150"/>
      <x:c r="P150" s="17" t="str">
        <x:v>Full rating coverage</x:v>
      </x:c>
      <x:c r="Q150" s="17" t="str">
        <x:v>39,084 people; full coverage does not establish exact job matching</x:v>
      </x:c>
    </x:row>
    <x:row r="151" ht="36" customHeight="1">
      <x:c r="M151"/>
      <x:c r="N151"/>
      <x:c r="P151" s="17" t="str">
        <x:v>Partial rating coverage</x:v>
      </x:c>
      <x:c r="Q151" s="17" t="str">
        <x:v>34,932 people; some candidate occupations lack ratings</x:v>
      </x:c>
    </x:row>
    <x:row r="152" ht="36" customHeight="1">
      <x:c r="M152"/>
      <x:c r="N152"/>
      <x:c r="P152" s="17" t="str">
        <x:v>Excluded: occupation scope</x:v>
      </x:c>
      <x:c r="Q152" s="17" t="str">
        <x:v>732570: 171; 785000: 377. Total: 548 excluded (uncertain mapping).</x:v>
      </x:c>
    </x:row>
    <x:row r="153" ht="36" customHeight="1">
      <x:c r="P153" s="17" t="str">
        <x:v>Missing base ratings</x:v>
      </x:c>
      <x:c r="Q153" s="17" t="str">
        <x:v>110590, 121760, 121770, 220270: 5,068 people</x:v>
      </x:c>
    </x:row>
    <x:row r="154" ht="36" customHeight="1">
      <x:c r="P154" s="17" t="str">
        <x:v>Single-member proxy</x:v>
      </x:c>
      <x:c r="Q154" s="17" t="str">
        <x:v>Only one member of a multi-occupation group has ratings</x:v>
      </x:c>
    </x:row>
    <x:row r="155" ht="36" customHeight="1">
      <x:c r="P155" s="17" t="str">
        <x:v>Residual-group proxy</x:v>
      </x:c>
      <x:c r="Q155" s="17" t="str">
        <x:v>One profile stands in for the residual teaching category</x:v>
      </x:c>
    </x:row>
    <x:row r="156" ht="36" customHeight="1">
      <x:c r="P156" s="17" t="str">
        <x:v>Other assumptions</x:v>
      </x:c>
      <x:c r="Q156" s="17" t="str">
        <x:v>Broader profiles, residual groups, or stated health and school-level boundaries.</x:v>
      </x:c>
    </x:row>
    <x:row r="157" ht="36" customHeight="1">
      <x:c r="P157" s="17" t="str">
        <x:v>Counting</x:v>
      </x:c>
      <x:c r="Q157" s="17" t="str">
        <x:v>One row per respondent after two left joins; 168 supervisor exclusions.</x:v>
      </x:c>
    </x:row>
    <x:row r="158" ht="36" customHeight="1">
      <x:c r="P158" s="17" t="str">
        <x:v>Final exclusions</x:v>
      </x:c>
      <x:c r="Q158" s="17" t="str">
        <x:v>Missing ratings 5,068 + undefined scope 548 + supervisor screen 168 = 5,784.</x:v>
      </x:c>
    </x:row>
  </x:sheetData>
  <x:conditionalFormatting sqref="L9:L137">
    <x:cfRule type="cellIs" dxfId="12" priority="12" operator="equal">
      <x:formula>"partial"</x:formula>
    </x:cfRule>
    <x:cfRule type="cellIs" dxfId="17" priority="17" operator="equal">
      <x:formula>"partial"</x:formula>
    </x:cfRule>
  </x:conditionalFormatting>
  <x:conditionalFormatting sqref="D9:D137">
    <x:cfRule type="cellIs" dxfId="20" priority="18" operator="equal">
      <x:formula>"Include"</x:formula>
    </x:cfRule>
    <x:cfRule type="cellIs" dxfId="21" priority="19" operator="equal">
      <x:formula>"Exclude (no Work Values)"</x:formula>
    </x:cfRule>
    <x:cfRule type="cellIs" dxfId="22" priority="20" operator="equal">
      <x:formula>"Exclude (uncertain mapping)"</x:formula>
    </x:cfRule>
  </x:conditionalFormatting>
  <x:pageMargins left="0.7" right="0.7" top="0.75" bottom="0.75" header="0.3" footer="0.3"/>
  <x:tableParts count="1">
    <x:tablePart xmlns:r="http://schemas.openxmlformats.org/officeDocument/2006/relationships" r:id="R0eb944baee5b42b2"/>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40.560001373291016" hidden="0" customWidth="1"/>
    <x:col min="3" max="3" width="13.329999923706055" hidden="0" customWidth="1"/>
    <x:col min="4" max="4" width="40.560001373291016" hidden="0" customWidth="1"/>
    <x:col min="5" max="5" width="8.329999923706055" hidden="0" customWidth="1"/>
    <x:col min="6" max="6" width="8.329999923706055" hidden="0" customWidth="1"/>
    <x:col min="7" max="7" width="8.890000343322754" hidden="0" customWidth="1"/>
    <x:col min="8" max="8" width="11.109999656677246" hidden="0" customWidth="1"/>
    <x:col min="9" max="9" width="13.329999923706055" hidden="0" customWidth="1"/>
    <x:col min="10" max="10" width="11.109999656677246" hidden="0" customWidth="1"/>
    <x:col min="11" max="11" width="12.220000267028809" hidden="0" customWidth="1"/>
    <x:col min="12" max="12" width="9.4399995803833" hidden="0" customWidth="1"/>
    <x:col min="13" max="13" width="12.220000267028809" hidden="0" customWidth="1"/>
    <x:col min="14" max="14" width="72.22000122070312" hidden="0" customWidth="1"/>
    <x:col min="15" max="15" width="51.11000061035156" hidden="0" customWidth="1"/>
    <x:col min="16" max="16" width="46.66999816894531" hidden="0" customWidth="1"/>
  </x:cols>
  <x:sheetData>
    <x:row r="1">
      <x:c r="A1" s="2"/>
      <x:c r="B1" s="2"/>
      <x:c r="C1" s="2"/>
      <x:c r="D1" s="2"/>
      <x:c r="E1" s="2"/>
      <x:c r="F1" s="2"/>
      <x:c r="G1" s="2"/>
      <x:c r="H1" s="2"/>
      <x:c r="I1" s="2"/>
      <x:c r="J1" s="2"/>
      <x:c r="K1" s="2"/>
      <x:c r="L1" s="2"/>
      <x:c r="M1" s="2"/>
      <x:c r="N1" s="2"/>
      <x:c r="O1" s="2"/>
      <x:c r="P1" s="2"/>
    </x:row>
    <x:row r="2" ht="22.5" customHeight="1">
      <x:c r="A2" s="3" t="str">
        <x:v>O*NET .00 candidates</x:v>
      </x:c>
      <x:c r="B2" s="2"/>
      <x:c r="C2" s="2"/>
      <x:c r="D2" s="2"/>
      <x:c r="E2" s="2"/>
      <x:c r="F2" s="2"/>
      <x:c r="G2" s="2"/>
      <x:c r="H2" s="2"/>
      <x:c r="I2" s="2"/>
      <x:c r="J2" s="2"/>
      <x:c r="K2" s="2"/>
      <x:c r="L2" s="2"/>
      <x:c r="M2" s="2"/>
      <x:c r="N2" s="2"/>
      <x:c r="O2" s="2"/>
      <x:c r="P2" s="2"/>
    </x:row>
    <x:row r="3" ht="18" customHeight="1">
      <x:c r="A3" s="7" t="str">
        <x:v>Only Include rows enter means. Missing ratings are not zero.</x:v>
      </x:c>
      <x:c r="B3" s="7"/>
      <x:c r="C3" s="7"/>
      <x:c r="D3" s="7"/>
      <x:c r="E3" s="7"/>
      <x:c r="F3" s="7"/>
      <x:c r="G3" s="7"/>
      <x:c r="H3" s="7"/>
      <x:c r="I3" s="7"/>
      <x:c r="J3" s="7"/>
      <x:c r="K3" s="7"/>
      <x:c r="L3" s="7"/>
      <x:c r="M3" s="7"/>
      <x:c r="N3" s="7"/>
      <x:c r="O3" s="7"/>
      <x:c r="P3" s="7"/>
    </x:row>
    <x:row r="4" ht="18" customHeight="1">
      <x:c r="A4" s="7" t="str">
        <x:v>Excluded rows remain for reference and contribute no scores.</x:v>
      </x:c>
      <x:c r="B4" s="7"/>
      <x:c r="C4" s="7"/>
      <x:c r="D4" s="7"/>
      <x:c r="E4" s="7"/>
      <x:c r="F4" s="7"/>
      <x:c r="G4" s="7"/>
      <x:c r="H4" s="7"/>
      <x:c r="I4" s="7"/>
      <x:c r="J4" s="7"/>
      <x:c r="K4" s="7"/>
      <x:c r="L4" s="7"/>
      <x:c r="M4" s="7"/>
      <x:c r="N4" s="7"/>
      <x:c r="O4" s="7"/>
      <x:c r="P4" s="7"/>
    </x:row>
    <x:row r="5" ht="31.5" customHeight="1">
      <x:c r="A5" s="50" t="str">
        <x:v>NSCG code</x:v>
      </x:c>
      <x:c r="B5" s="50" t="str">
        <x:v>NSCG occupation</x:v>
      </x:c>
      <x:c r="C5" s="50" t="str">
        <x:v>O*NET .00 code</x:v>
      </x:c>
      <x:c r="D5" s="50" t="str">
        <x:v>O*NET occupation</x:v>
      </x:c>
      <x:c r="E5" s="50" t="str">
        <x:v>Decision</x:v>
      </x:c>
      <x:c r="F5" s="50" t="str">
        <x:v>.00 exists</x:v>
      </x:c>
      <x:c r="G5" s="50" t="str">
        <x:v>Ratings</x:v>
      </x:c>
      <x:c r="H5" s="50" t="str">
        <x:v>Achievement</x:v>
      </x:c>
      <x:c r="I5" s="50" t="str">
        <x:v>Working Conditions</x:v>
      </x:c>
      <x:c r="J5" s="50" t="str">
        <x:v>Recognition</x:v>
      </x:c>
      <x:c r="K5" s="50" t="str">
        <x:v>Relationships</x:v>
      </x:c>
      <x:c r="L5" s="50" t="str">
        <x:v>Support</x:v>
      </x:c>
      <x:c r="M5" s="50" t="str">
        <x:v>Independence</x:v>
      </x:c>
      <x:c r="N5" s="50" t="str">
        <x:v>O*NET definition</x:v>
      </x:c>
      <x:c r="O5" s="50" t="str">
        <x:v>Definition URL</x:v>
      </x:c>
      <x:c r="P5" s="50" t="str">
        <x:v>Scope / reason</x:v>
      </x:c>
    </x:row>
    <x:row r="6" ht="36" customHeight="1">
      <x:c r="A6" s="15" t="str">
        <x:v>110510</x:v>
      </x:c>
      <x:c r="B6" s="12" t="str">
        <x:v>Computer and information research scientists</x:v>
      </x:c>
      <x:c r="C6" s="35" t="str">
        <x:v>15-1221.00</x:v>
      </x:c>
      <x:c r="D6" s="12" t="str">
        <x:v>Computer and Information Research Scientists</x:v>
      </x:c>
      <x:c r="E6" s="2" t="str">
        <x:v>Include</x:v>
      </x:c>
      <x:c r="F6" s="2" t="str">
        <x:v>Yes</x:v>
      </x:c>
      <x:c r="G6" s="15" t="str">
        <x:v>6/6</x:v>
      </x:c>
      <x:c r="H6" s="18" t="n">
        <x:v>5.67</x:v>
      </x:c>
      <x:c r="I6" s="18" t="n">
        <x:v>5.67</x:v>
      </x:c>
      <x:c r="J6" s="18" t="n">
        <x:v>5.33</x:v>
      </x:c>
      <x:c r="K6" s="18" t="n">
        <x:v>3.67</x:v>
      </x:c>
      <x:c r="L6" s="18" t="n">
        <x:v>4.67</x:v>
      </x:c>
      <x:c r="M6" s="18" t="n">
        <x:v>5.33</x:v>
      </x:c>
      <x:c r="N6" s="12" t="str">
        <x:v>Conduct research into fundamental computer and information science as theorists, designers, or inventors. Develop solutions to problems in the field of computer hardware and software.</x:v>
      </x:c>
      <x:c r="O6" s="12" t="str">
        <x:v>https://www.onetonline.org/link/summary/15-1221.00</x:v>
      </x:c>
      <x:c r="P6" s="12" t="str">
        <x:v>Occupation titles and scope align.</x:v>
      </x:c>
    </x:row>
    <x:row r="7" ht="36" customHeight="1">
      <x:c r="A7" s="15" t="str">
        <x:v>110520</x:v>
      </x:c>
      <x:c r="B7" s="12" t="str">
        <x:v>Computer network architects</x:v>
      </x:c>
      <x:c r="C7" s="35" t="str">
        <x:v>15-1241.00</x:v>
      </x:c>
      <x:c r="D7" s="12" t="str">
        <x:v>Computer Network Architects</x:v>
      </x:c>
      <x:c r="E7" s="2" t="str">
        <x:v>Include</x:v>
      </x:c>
      <x:c r="F7" s="2" t="str">
        <x:v>Yes</x:v>
      </x:c>
      <x:c r="G7" s="15" t="str">
        <x:v>6/6</x:v>
      </x:c>
      <x:c r="H7" s="18" t="n">
        <x:v>6</x:v>
      </x:c>
      <x:c r="I7" s="18" t="n">
        <x:v>5.33</x:v>
      </x:c>
      <x:c r="J7" s="18" t="n">
        <x:v>4.33</x:v>
      </x:c>
      <x:c r="K7" s="18" t="n">
        <x:v>2.67</x:v>
      </x:c>
      <x:c r="L7" s="18" t="n">
        <x:v>4.33</x:v>
      </x:c>
      <x:c r="M7" s="18" t="n">
        <x:v>5.33</x:v>
      </x:c>
      <x:c r="N7" s="12" t="str">
        <x:v>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x:v>
      </x:c>
      <x:c r="O7" s="12" t="str">
        <x:v>https://www.onetonline.org/link/summary/15-1241.00</x:v>
      </x:c>
      <x:c r="P7" s="12" t="str">
        <x:v>Use the rated .00 profile; omit detailed subtypes.</x:v>
      </x:c>
    </x:row>
    <x:row r="8" ht="36" customHeight="1">
      <x:c r="A8" s="15" t="str">
        <x:v>110540</x:v>
      </x:c>
      <x:c r="B8" s="12" t="str">
        <x:v>Computer support specialists</x:v>
      </x:c>
      <x:c r="C8" s="35" t="str">
        <x:v>15-1231.00</x:v>
      </x:c>
      <x:c r="D8" s="12" t="str">
        <x:v>Computer Network Support Specialists</x:v>
      </x:c>
      <x:c r="E8" s="2" t="str">
        <x:v>Include</x:v>
      </x:c>
      <x:c r="F8" s="2" t="str">
        <x:v>Yes</x:v>
      </x:c>
      <x:c r="G8" s="15" t="str">
        <x:v>6/6</x:v>
      </x:c>
      <x:c r="H8" s="18" t="n">
        <x:v>5.33</x:v>
      </x:c>
      <x:c r="I8" s="18" t="n">
        <x:v>4.67</x:v>
      </x:c>
      <x:c r="J8" s="18" t="n">
        <x:v>4</x:v>
      </x:c>
      <x:c r="K8" s="18" t="n">
        <x:v>3</x:v>
      </x:c>
      <x:c r="L8" s="18" t="n">
        <x:v>5</x:v>
      </x:c>
      <x:c r="M8" s="18" t="n">
        <x:v>4</x:v>
      </x:c>
      <x:c r="N8" s="12" t="str">
        <x:v>Analyze, test, troubleshoot, and evaluate existing network systems, such as local area networks (LAN), wide area networks (WAN), cloud networks, servers, and other data communications networks. Perform network maintenance to ensure networks operate correctly with minimal interruption.</x:v>
      </x:c>
      <x:c r="O8" s="12" t="str">
        <x:v>https://www.onetonline.org/link/summary/15-1231.00</x:v>
      </x:c>
      <x:c r="P8" s="12" t="str">
        <x:v>Mean of network and user support specialists.</x:v>
      </x:c>
    </x:row>
    <x:row r="9" ht="36" customHeight="1">
      <x:c r="A9" s="15" t="str">
        <x:v>110540</x:v>
      </x:c>
      <x:c r="B9" s="12" t="str">
        <x:v>Computer support specialists</x:v>
      </x:c>
      <x:c r="C9" s="35" t="str">
        <x:v>15-1232.00</x:v>
      </x:c>
      <x:c r="D9" s="12" t="str">
        <x:v>Computer User Support Specialists</x:v>
      </x:c>
      <x:c r="E9" s="2" t="str">
        <x:v>Include</x:v>
      </x:c>
      <x:c r="F9" s="2" t="str">
        <x:v>Yes</x:v>
      </x:c>
      <x:c r="G9" s="15" t="str">
        <x:v>6/6</x:v>
      </x:c>
      <x:c r="H9" s="18" t="n">
        <x:v>5</x:v>
      </x:c>
      <x:c r="I9" s="18" t="n">
        <x:v>5.17</x:v>
      </x:c>
      <x:c r="J9" s="18" t="n">
        <x:v>4.33</x:v>
      </x:c>
      <x:c r="K9" s="18" t="n">
        <x:v>5.33</x:v>
      </x:c>
      <x:c r="L9" s="18" t="n">
        <x:v>5</x:v>
      </x:c>
      <x:c r="M9" s="18" t="n">
        <x:v>5</x:v>
      </x:c>
      <x:c r="N9" s="12" t="str">
        <x:v>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x:v>
      </x:c>
      <x:c r="O9" s="12" t="str">
        <x:v>https://www.onetonline.org/link/summary/15-1232.00</x:v>
      </x:c>
      <x:c r="P9" s="12" t="str">
        <x:v>Mean of network and user support specialists.</x:v>
      </x:c>
    </x:row>
    <x:row r="10" ht="36" customHeight="1">
      <x:c r="A10" s="15" t="str">
        <x:v>110550</x:v>
      </x:c>
      <x:c r="B10" s="12" t="str">
        <x:v>Computer system analysts</x:v>
      </x:c>
      <x:c r="C10" s="35" t="str">
        <x:v>15-1211.00</x:v>
      </x:c>
      <x:c r="D10" s="12" t="str">
        <x:v>Computer Systems Analysts</x:v>
      </x:c>
      <x:c r="E10" s="2" t="str">
        <x:v>Include</x:v>
      </x:c>
      <x:c r="F10" s="2" t="str">
        <x:v>Yes</x:v>
      </x:c>
      <x:c r="G10" s="15" t="str">
        <x:v>6/6</x:v>
      </x:c>
      <x:c r="H10" s="18" t="n">
        <x:v>5</x:v>
      </x:c>
      <x:c r="I10" s="18" t="n">
        <x:v>5.17</x:v>
      </x:c>
      <x:c r="J10" s="18" t="n">
        <x:v>5</x:v>
      </x:c>
      <x:c r="K10" s="18" t="n">
        <x:v>3.67</x:v>
      </x:c>
      <x:c r="L10" s="18" t="n">
        <x:v>4.33</x:v>
      </x:c>
      <x:c r="M10" s="18" t="n">
        <x:v>5</x:v>
      </x:c>
      <x:c r="N10" s="12" t="str">
        <x:v>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x:v>
      </x:c>
      <x:c r="O10" s="12" t="str">
        <x:v>https://www.onetonline.org/link/summary/15-1211.00</x:v>
      </x:c>
      <x:c r="P10" s="12" t="str">
        <x:v>System/systems wording differs; occupation scope aligns.</x:v>
      </x:c>
    </x:row>
    <x:row r="11" ht="37.5" customHeight="1">
      <x:c r="A11" s="15" t="str">
        <x:v>110560</x:v>
      </x:c>
      <x:c r="B11" s="12" t="str">
        <x:v>Database administrators</x:v>
      </x:c>
      <x:c r="C11" s="35" t="str">
        <x:v>15-1242.00</x:v>
      </x:c>
      <x:c r="D11" s="12" t="str">
        <x:v>Database Administrators</x:v>
      </x:c>
      <x:c r="E11" s="2" t="str">
        <x:v>Include</x:v>
      </x:c>
      <x:c r="F11" s="2" t="str">
        <x:v>Yes</x:v>
      </x:c>
      <x:c r="G11" s="15" t="str">
        <x:v>6/6</x:v>
      </x:c>
      <x:c r="H11" s="18" t="n">
        <x:v>4.67</x:v>
      </x:c>
      <x:c r="I11" s="18" t="n">
        <x:v>5</x:v>
      </x:c>
      <x:c r="J11" s="18" t="n">
        <x:v>4.33</x:v>
      </x:c>
      <x:c r="K11" s="18" t="n">
        <x:v>3.67</x:v>
      </x:c>
      <x:c r="L11" s="18" t="n">
        <x:v>5</x:v>
      </x:c>
      <x:c r="M11" s="18" t="n">
        <x:v>3.33</x:v>
      </x:c>
      <x:c r="N11" s="12" t="str">
        <x:v>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x:v>
      </x:c>
      <x:c r="O11" s="12" t="str">
        <x:v>https://www.onetonline.org/link/summary/15-1242.00</x:v>
      </x:c>
      <x:c r="P11" s="12" t="str">
        <x:v>Use Database Administrators; exclude Database Architects.</x:v>
      </x:c>
    </x:row>
    <x:row r="12" ht="36" customHeight="1">
      <x:c r="A12" s="15" t="str">
        <x:v>110570</x:v>
      </x:c>
      <x:c r="B12" s="12" t="str">
        <x:v>Information security analysts</x:v>
      </x:c>
      <x:c r="C12" s="35" t="str">
        <x:v>15-1212.00</x:v>
      </x:c>
      <x:c r="D12" s="12" t="str">
        <x:v>Information Security Analysts</x:v>
      </x:c>
      <x:c r="E12" s="2" t="str">
        <x:v>Include</x:v>
      </x:c>
      <x:c r="F12" s="2" t="str">
        <x:v>Yes</x:v>
      </x:c>
      <x:c r="G12" s="15" t="str">
        <x:v>6/6</x:v>
      </x:c>
      <x:c r="H12" s="18" t="n">
        <x:v>4.67</x:v>
      </x:c>
      <x:c r="I12" s="18" t="n">
        <x:v>5.67</x:v>
      </x:c>
      <x:c r="J12" s="18" t="n">
        <x:v>4.33</x:v>
      </x:c>
      <x:c r="K12" s="18" t="n">
        <x:v>4.33</x:v>
      </x:c>
      <x:c r="L12" s="18" t="n">
        <x:v>5.33</x:v>
      </x:c>
      <x:c r="M12" s="18" t="n">
        <x:v>5.33</x:v>
      </x:c>
      <x:c r="N12" s="12" t="str">
        <x:v>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x:v>
      </x:c>
      <x:c r="O12" s="12" t="str">
        <x:v>https://www.onetonline.org/link/summary/15-1212.00</x:v>
      </x:c>
      <x:c r="P12" s="12" t="str">
        <x:v>Occupation titles and scope align.</x:v>
      </x:c>
    </x:row>
    <x:row r="13" ht="36" customHeight="1">
      <x:c r="A13" s="15" t="str">
        <x:v>110580</x:v>
      </x:c>
      <x:c r="B13" s="12" t="str">
        <x:v>Network and computer systems administrators</x:v>
      </x:c>
      <x:c r="C13" s="35" t="str">
        <x:v>15-1244.00</x:v>
      </x:c>
      <x:c r="D13" s="12" t="str">
        <x:v>Network and Computer Systems Administrators</x:v>
      </x:c>
      <x:c r="E13" s="2" t="str">
        <x:v>Include</x:v>
      </x:c>
      <x:c r="F13" s="2" t="str">
        <x:v>Yes</x:v>
      </x:c>
      <x:c r="G13" s="15" t="str">
        <x:v>6/6</x:v>
      </x:c>
      <x:c r="H13" s="18" t="n">
        <x:v>4.67</x:v>
      </x:c>
      <x:c r="I13" s="18" t="n">
        <x:v>5.5</x:v>
      </x:c>
      <x:c r="J13" s="18" t="n">
        <x:v>4.67</x:v>
      </x:c>
      <x:c r="K13" s="18" t="n">
        <x:v>4</x:v>
      </x:c>
      <x:c r="L13" s="18" t="n">
        <x:v>5.33</x:v>
      </x:c>
      <x:c r="M13" s="18" t="n">
        <x:v>4.33</x:v>
      </x:c>
      <x:c r="N13" s="12" t="str">
        <x:v>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x:v>
      </x:c>
      <x:c r="O13" s="12" t="str">
        <x:v>https://www.onetonline.org/link/summary/15-1244.00</x:v>
      </x:c>
      <x:c r="P13" s="12" t="str">
        <x:v>Occupation titles and scope align.</x:v>
      </x:c>
    </x:row>
    <x:row r="14" ht="36" customHeight="1">
      <x:c r="A14" s="15" t="str">
        <x:v>110590</x:v>
      </x:c>
      <x:c r="B14" s="12" t="str">
        <x:v>Software developers – applications and systems software</x:v>
      </x:c>
      <x:c r="C14" s="35" t="str">
        <x:v>15-1252.00</x:v>
      </x:c>
      <x:c r="D14" s="12" t="str">
        <x:v>Software Developers</x:v>
      </x:c>
      <x:c r="E14" s="2" t="str">
        <x:v>Exclude (no Work Values)</x:v>
      </x:c>
      <x:c r="F14" s="2" t="str">
        <x:v>Yes</x:v>
      </x:c>
      <x:c r="G14" s="15" t="str">
        <x:v>0/6</x:v>
      </x:c>
      <x:c r="H14" s="18"/>
      <x:c r="I14" s="18"/>
      <x:c r="J14" s="18"/>
      <x:c r="K14" s="18"/>
      <x:c r="L14" s="18"/>
      <x:c r="M14" s="18"/>
      <x:c r="N14" s="12" t="str">
        <x:v>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x:v>
      </x:c>
      <x:c r="O14" s="12" t="str">
        <x:v>https://www.onetonline.org/link/summary/15-1252.00</x:v>
      </x:c>
      <x:c r="P14" s="12" t="str">
        <x:v>No Work Values for Software Developers .00; do not substitute subtype ratings.</x:v>
      </x:c>
    </x:row>
    <x:row r="15" ht="37.5" customHeight="1">
      <x:c r="A15" s="15" t="str">
        <x:v>110600</x:v>
      </x:c>
      <x:c r="B15" s="12" t="str">
        <x:v>Web developers</x:v>
      </x:c>
      <x:c r="C15" s="35" t="str">
        <x:v>15-1254.00</x:v>
      </x:c>
      <x:c r="D15" s="12" t="str">
        <x:v>Web Developers</x:v>
      </x:c>
      <x:c r="E15" s="2" t="str">
        <x:v>Include</x:v>
      </x:c>
      <x:c r="F15" s="2" t="str">
        <x:v>Yes</x:v>
      </x:c>
      <x:c r="G15" s="15" t="str">
        <x:v>6/6</x:v>
      </x:c>
      <x:c r="H15" s="18" t="n">
        <x:v>5</x:v>
      </x:c>
      <x:c r="I15" s="18" t="n">
        <x:v>5.33</x:v>
      </x:c>
      <x:c r="J15" s="18" t="n">
        <x:v>5</x:v>
      </x:c>
      <x:c r="K15" s="18" t="n">
        <x:v>4</x:v>
      </x:c>
      <x:c r="L15" s="18" t="n">
        <x:v>4.33</x:v>
      </x:c>
      <x:c r="M15" s="18" t="n">
        <x:v>5.67</x:v>
      </x:c>
      <x:c r="N15" s="12" t="str">
        <x:v>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x:v>
      </x:c>
      <x:c r="O15" s="12" t="str">
        <x:v>https://www.onetonline.org/link/summary/15-1254.00</x:v>
      </x:c>
      <x:c r="P15" s="12" t="str">
        <x:v>Use Web Developers; exclude Web and Digital Interface Designers.</x:v>
      </x:c>
    </x:row>
    <x:row r="16" ht="50.25" customHeight="1">
      <x:c r="A16" s="15" t="str">
        <x:v>110610</x:v>
      </x:c>
      <x:c r="B16" s="12" t="str">
        <x:v>Other computer and information science occupations</x:v>
      </x:c>
      <x:c r="C16" s="35" t="str">
        <x:v>15-1243.00</x:v>
      </x:c>
      <x:c r="D16" s="12" t="str">
        <x:v>Database Architects</x:v>
      </x:c>
      <x:c r="E16" s="2" t="str">
        <x:v>Include</x:v>
      </x:c>
      <x:c r="F16" s="2" t="str">
        <x:v>Yes</x:v>
      </x:c>
      <x:c r="G16" s="15" t="str">
        <x:v>6/6</x:v>
      </x:c>
      <x:c r="H16" s="18" t="n">
        <x:v>6</x:v>
      </x:c>
      <x:c r="I16" s="18" t="n">
        <x:v>5.33</x:v>
      </x:c>
      <x:c r="J16" s="18" t="n">
        <x:v>4.33</x:v>
      </x:c>
      <x:c r="K16" s="18" t="n">
        <x:v>2.67</x:v>
      </x:c>
      <x:c r="L16" s="18" t="n">
        <x:v>3.67</x:v>
      </x:c>
      <x:c r="M16" s="18" t="n">
        <x:v>5.33</x:v>
      </x:c>
      <x:c r="N16" s="12" t="str">
        <x:v>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x:v>
      </x:c>
      <x:c r="O16" s="12" t="str">
        <x:v>https://www.onetonline.org/link/summary/15-1243.00</x:v>
      </x:c>
      <x:c r="P16" s="12" t="str">
        <x:v>SOC15-1200 minus separately listed computer occupations and programmers; includes database architects, software testers, interface designers and other computer occupations.</x:v>
      </x:c>
    </x:row>
    <x:row r="17" ht="50.25" customHeight="1">
      <x:c r="A17" s="15" t="str">
        <x:v>110610</x:v>
      </x:c>
      <x:c r="B17" s="12" t="str">
        <x:v>Other computer and information science occupations</x:v>
      </x:c>
      <x:c r="C17" s="35" t="str">
        <x:v>15-1253.00</x:v>
      </x:c>
      <x:c r="D17" s="12" t="str">
        <x:v>Software Quality Assurance Analysts and Testers</x:v>
      </x:c>
      <x:c r="E17" s="2" t="str">
        <x:v>Include</x:v>
      </x:c>
      <x:c r="F17" s="2" t="str">
        <x:v>Yes</x:v>
      </x:c>
      <x:c r="G17" s="15" t="str">
        <x:v>6/6</x:v>
      </x:c>
      <x:c r="H17" s="18" t="n">
        <x:v>5</x:v>
      </x:c>
      <x:c r="I17" s="18" t="n">
        <x:v>5</x:v>
      </x:c>
      <x:c r="J17" s="18" t="n">
        <x:v>4.67</x:v>
      </x:c>
      <x:c r="K17" s="18" t="n">
        <x:v>4.33</x:v>
      </x:c>
      <x:c r="L17" s="18" t="n">
        <x:v>5</x:v>
      </x:c>
      <x:c r="M17" s="18" t="n">
        <x:v>5</x:v>
      </x:c>
      <x:c r="N17" s="12" t="str">
        <x:v>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x:v>
      </x:c>
      <x:c r="O17" s="12" t="str">
        <x:v>https://www.onetonline.org/link/summary/15-1253.00</x:v>
      </x:c>
      <x:c r="P17" s="12" t="str">
        <x:v>SOC15-1200 minus separately listed computer occupations and programmers; includes database architects, software testers, interface designers and other computer occupations.</x:v>
      </x:c>
    </x:row>
    <x:row r="18" ht="50.25" customHeight="1">
      <x:c r="A18" s="15" t="str">
        <x:v>110610</x:v>
      </x:c>
      <x:c r="B18" s="12" t="str">
        <x:v>Other computer and information science occupations</x:v>
      </x:c>
      <x:c r="C18" s="35" t="str">
        <x:v>15-1255.00</x:v>
      </x:c>
      <x:c r="D18" s="12" t="str">
        <x:v>Web and Digital Interface Designers</x:v>
      </x:c>
      <x:c r="E18" s="2" t="str">
        <x:v>Exclude (no Work Values)</x:v>
      </x:c>
      <x:c r="F18" s="2" t="str">
        <x:v>Yes</x:v>
      </x:c>
      <x:c r="G18" s="15" t="str">
        <x:v>0/6</x:v>
      </x:c>
      <x:c r="H18" s="18"/>
      <x:c r="I18" s="18"/>
      <x:c r="J18" s="18"/>
      <x:c r="K18" s="18"/>
      <x:c r="L18" s="18"/>
      <x:c r="M18" s="18"/>
      <x:c r="N18" s="12" t="str">
        <x:v>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x:v>
      </x:c>
      <x:c r="O18" s="12" t="str">
        <x:v>https://www.onetonline.org/link/summary/15-1255.00</x:v>
      </x:c>
      <x:c r="P18" s="12" t="str">
        <x:v>SOC15-1200 minus separately listed computer occupations and programmers; includes database architects, software testers, interface designers and other computer occupations.</x:v>
      </x:c>
    </x:row>
    <x:row r="19" ht="50.25" customHeight="1">
      <x:c r="A19" s="15" t="str">
        <x:v>110610</x:v>
      </x:c>
      <x:c r="B19" s="12" t="str">
        <x:v>Other computer and information science occupations</x:v>
      </x:c>
      <x:c r="C19" s="35" t="str">
        <x:v>15-1299.00</x:v>
      </x:c>
      <x:c r="D19" s="12" t="str">
        <x:v>Computer Occupations, All Other</x:v>
      </x:c>
      <x:c r="E19" s="2" t="str">
        <x:v>Exclude (no Work Values)</x:v>
      </x:c>
      <x:c r="F19" s="2" t="str">
        <x:v>Yes</x:v>
      </x:c>
      <x:c r="G19" s="15" t="str">
        <x:v>0/6</x:v>
      </x:c>
      <x:c r="H19" s="18"/>
      <x:c r="I19" s="18"/>
      <x:c r="J19" s="18"/>
      <x:c r="K19" s="18"/>
      <x:c r="L19" s="18"/>
      <x:c r="M19" s="18"/>
      <x:c r="N19" s="12" t="str">
        <x:v>All computer occupations not listed separately.</x:v>
      </x:c>
      <x:c r="O19" s="12" t="str">
        <x:v>https://www.onetonline.org/link/summary/15-1299.00</x:v>
      </x:c>
      <x:c r="P19" s="12" t="str">
        <x:v>SOC15-1200 minus separately listed computer occupations and programmers; includes database architects, software testers, interface designers and other computer occupations.</x:v>
      </x:c>
    </x:row>
    <x:row r="20" ht="36" customHeight="1">
      <x:c r="A20" s="15" t="str">
        <x:v>121720</x:v>
      </x:c>
      <x:c r="B20" s="12" t="str">
        <x:v>Mathematicians</x:v>
      </x:c>
      <x:c r="C20" s="35" t="str">
        <x:v>15-2021.00</x:v>
      </x:c>
      <x:c r="D20" s="12" t="str">
        <x:v>Mathematicians</x:v>
      </x:c>
      <x:c r="E20" s="2" t="str">
        <x:v>Include</x:v>
      </x:c>
      <x:c r="F20" s="2" t="str">
        <x:v>Yes</x:v>
      </x:c>
      <x:c r="G20" s="15" t="str">
        <x:v>6/6</x:v>
      </x:c>
      <x:c r="H20" s="18" t="n">
        <x:v>6</x:v>
      </x:c>
      <x:c r="I20" s="18" t="n">
        <x:v>5.33</x:v>
      </x:c>
      <x:c r="J20" s="18" t="n">
        <x:v>5.67</x:v>
      </x:c>
      <x:c r="K20" s="18" t="n">
        <x:v>2</x:v>
      </x:c>
      <x:c r="L20" s="18" t="n">
        <x:v>2.33</x:v>
      </x:c>
      <x:c r="M20" s="18" t="n">
        <x:v>5.33</x:v>
      </x:c>
      <x:c r="N20" s="12" t="str">
        <x:v>Conduct research in fundamental mathematics or in application of mathematical techniques to science, management, and other fields. Solve problems in various fields using mathematical methods.</x:v>
      </x:c>
      <x:c r="O20" s="12" t="str">
        <x:v>https://www.onetonline.org/link/summary/15-2021.00</x:v>
      </x:c>
      <x:c r="P20" s="12" t="str">
        <x:v>Occupation titles and scope align.</x:v>
      </x:c>
    </x:row>
    <x:row r="21" ht="36" customHeight="1">
      <x:c r="A21" s="15" t="str">
        <x:v>121730</x:v>
      </x:c>
      <x:c r="B21" s="12" t="str">
        <x:v>Operations research analysts</x:v>
      </x:c>
      <x:c r="C21" s="35" t="str">
        <x:v>15-2031.00</x:v>
      </x:c>
      <x:c r="D21" s="12" t="str">
        <x:v>Operations Research Analysts</x:v>
      </x:c>
      <x:c r="E21" s="2" t="str">
        <x:v>Include</x:v>
      </x:c>
      <x:c r="F21" s="2" t="str">
        <x:v>Yes</x:v>
      </x:c>
      <x:c r="G21" s="15" t="str">
        <x:v>6/6</x:v>
      </x:c>
      <x:c r="H21" s="18" t="n">
        <x:v>6</x:v>
      </x:c>
      <x:c r="I21" s="18" t="n">
        <x:v>5.17</x:v>
      </x:c>
      <x:c r="J21" s="18" t="n">
        <x:v>5</x:v>
      </x:c>
      <x:c r="K21" s="18" t="n">
        <x:v>2</x:v>
      </x:c>
      <x:c r="L21" s="18" t="n">
        <x:v>3.33</x:v>
      </x:c>
      <x:c r="M21" s="18" t="n">
        <x:v>5.67</x:v>
      </x:c>
      <x:c r="N21" s="12" t="str">
        <x:v>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x:v>
      </x:c>
      <x:c r="O21" s="12" t="str">
        <x:v>https://www.onetonline.org/link/summary/15-2031.00</x:v>
      </x:c>
      <x:c r="P21" s="12" t="str">
        <x:v>Occupation titles and scope align.</x:v>
      </x:c>
    </x:row>
    <x:row r="22" ht="36" customHeight="1">
      <x:c r="A22" s="15" t="str">
        <x:v>121740</x:v>
      </x:c>
      <x:c r="B22" s="12" t="str">
        <x:v>Statisticians</x:v>
      </x:c>
      <x:c r="C22" s="35" t="str">
        <x:v>15-2041.00</x:v>
      </x:c>
      <x:c r="D22" s="12" t="str">
        <x:v>Statisticians</x:v>
      </x:c>
      <x:c r="E22" s="2" t="str">
        <x:v>Include</x:v>
      </x:c>
      <x:c r="F22" s="2" t="str">
        <x:v>Yes</x:v>
      </x:c>
      <x:c r="G22" s="15" t="str">
        <x:v>6/6</x:v>
      </x:c>
      <x:c r="H22" s="18" t="n">
        <x:v>5.33</x:v>
      </x:c>
      <x:c r="I22" s="18" t="n">
        <x:v>4.67</x:v>
      </x:c>
      <x:c r="J22" s="18" t="n">
        <x:v>5</x:v>
      </x:c>
      <x:c r="K22" s="18" t="n">
        <x:v>4.67</x:v>
      </x:c>
      <x:c r="L22" s="18" t="n">
        <x:v>3</x:v>
      </x:c>
      <x:c r="M22" s="18" t="n">
        <x:v>5.67</x:v>
      </x:c>
      <x:c r="N22" s="12" t="str">
        <x:v>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x:v>
      </x:c>
      <x:c r="O22" s="12" t="str">
        <x:v>https://www.onetonline.org/link/summary/15-2041.00</x:v>
      </x:c>
      <x:c r="P22" s="12" t="str">
        <x:v>Use the rated .00 profile; omit detailed subtypes.</x:v>
      </x:c>
    </x:row>
    <x:row r="23" ht="36" customHeight="1">
      <x:c r="A23" s="15" t="str">
        <x:v>121760</x:v>
      </x:c>
      <x:c r="B23" s="12" t="str">
        <x:v>Other mathematical scientists</x:v>
      </x:c>
      <x:c r="C23" s="35" t="str">
        <x:v>15-2099.00</x:v>
      </x:c>
      <x:c r="D23" s="12" t="str">
        <x:v>Mathematical Science Occupations, All Other</x:v>
      </x:c>
      <x:c r="E23" s="2" t="str">
        <x:v>Exclude (no Work Values)</x:v>
      </x:c>
      <x:c r="F23" s="2" t="str">
        <x:v>Yes</x:v>
      </x:c>
      <x:c r="G23" s="15" t="str">
        <x:v>0/6</x:v>
      </x:c>
      <x:c r="H23" s="18"/>
      <x:c r="I23" s="18"/>
      <x:c r="J23" s="18"/>
      <x:c r="K23" s="18"/>
      <x:c r="L23" s="18"/>
      <x:c r="M23" s="18"/>
      <x:c r="N23" s="12" t="str">
        <x:v>All mathematical scientists not listed separately.</x:v>
      </x:c>
      <x:c r="O23" s="12" t="str">
        <x:v>https://www.onetonline.org/link/summary/15-2099.00</x:v>
      </x:c>
      <x:c r="P23" s="12" t="str">
        <x:v>No Work Values for Mathematical Science Occupations, All Other .00.</x:v>
      </x:c>
    </x:row>
    <x:row r="24" ht="36" customHeight="1">
      <x:c r="A24" s="15" t="str">
        <x:v>121770</x:v>
      </x:c>
      <x:c r="B24" s="12" t="str">
        <x:v>Data scientists</x:v>
      </x:c>
      <x:c r="C24" s="35" t="str">
        <x:v>15-2051.00</x:v>
      </x:c>
      <x:c r="D24" s="12" t="str">
        <x:v>Data Scientists</x:v>
      </x:c>
      <x:c r="E24" s="2" t="str">
        <x:v>Exclude (no Work Values)</x:v>
      </x:c>
      <x:c r="F24" s="2" t="str">
        <x:v>Yes</x:v>
      </x:c>
      <x:c r="G24" s="15" t="str">
        <x:v>0/6</x:v>
      </x:c>
      <x:c r="H24" s="18"/>
      <x:c r="I24" s="18"/>
      <x:c r="J24" s="18"/>
      <x:c r="K24" s="18"/>
      <x:c r="L24" s="18"/>
      <x:c r="M24" s="18"/>
      <x:c r="N24" s="12" t="str">
        <x:v>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x:v>
      </x:c>
      <x:c r="O24" s="12" t="str">
        <x:v>https://www.onetonline.org/link/summary/15-2051.00</x:v>
      </x:c>
      <x:c r="P24" s="12" t="str">
        <x:v>No Work Values for Data Scientists .00; omit rated subtypes.</x:v>
      </x:c>
    </x:row>
    <x:row r="25" ht="36" customHeight="1">
      <x:c r="A25" s="15" t="str">
        <x:v>182760</x:v>
      </x:c>
      <x:c r="B25" s="12" t="str">
        <x:v>Postsecondary teachers - Computer sciences</x:v>
      </x:c>
      <x:c r="C25" s="35" t="str">
        <x:v>25-1021.00</x:v>
      </x:c>
      <x:c r="D25" s="12" t="str">
        <x:v>Computer Science Teachers, Postsecondary</x:v>
      </x:c>
      <x:c r="E25" s="2" t="str">
        <x:v>Include</x:v>
      </x:c>
      <x:c r="F25" s="2" t="str">
        <x:v>Yes</x:v>
      </x:c>
      <x:c r="G25" s="15" t="str">
        <x:v>6/6</x:v>
      </x:c>
      <x:c r="H25" s="18" t="n">
        <x:v>5.33</x:v>
      </x:c>
      <x:c r="I25" s="18" t="n">
        <x:v>5.17</x:v>
      </x:c>
      <x:c r="J25" s="18" t="n">
        <x:v>5</x:v>
      </x:c>
      <x:c r="K25" s="18" t="n">
        <x:v>4.67</x:v>
      </x:c>
      <x:c r="L25" s="18" t="n">
        <x:v>3.33</x:v>
      </x:c>
      <x:c r="M25" s="18" t="n">
        <x:v>5.33</x:v>
      </x:c>
      <x:c r="N25" s="12" t="str">
        <x:v>Teach courses in computer science. May specialize in a field of computer science, such as the design and function of computers or operations and research analysis. Includes both teachers primarily engaged in teaching and those who do a combination of teaching and research.</x:v>
      </x:c>
      <x:c r="O25" s="12" t="str">
        <x:v>https://www.onetonline.org/link/summary/25-1021.00</x:v>
      </x:c>
      <x:c r="P25" s="12" t="str">
        <x:v>Use the subject-specific postsecondary teaching profile.</x:v>
      </x:c>
    </x:row>
    <x:row r="26" ht="36" customHeight="1">
      <x:c r="A26" s="15" t="str">
        <x:v>182860</x:v>
      </x:c>
      <x:c r="B26" s="12" t="str">
        <x:v>Postsecondary teachers - Mathematical sciences</x:v>
      </x:c>
      <x:c r="C26" s="35" t="str">
        <x:v>25-1022.00</x:v>
      </x:c>
      <x:c r="D26" s="12" t="str">
        <x:v>Mathematical Science Teachers, Postsecondary</x:v>
      </x:c>
      <x:c r="E26" s="2" t="str">
        <x:v>Include</x:v>
      </x:c>
      <x:c r="F26" s="2" t="str">
        <x:v>Yes</x:v>
      </x:c>
      <x:c r="G26" s="15" t="str">
        <x:v>6/6</x:v>
      </x:c>
      <x:c r="H26" s="18" t="n">
        <x:v>6</x:v>
      </x:c>
      <x:c r="I26" s="18" t="n">
        <x:v>4.83</x:v>
      </x:c>
      <x:c r="J26" s="18" t="n">
        <x:v>5.33</x:v>
      </x:c>
      <x:c r="K26" s="18" t="n">
        <x:v>4.67</x:v>
      </x:c>
      <x:c r="L26" s="18" t="n">
        <x:v>2.67</x:v>
      </x:c>
      <x:c r="M26" s="18" t="n">
        <x:v>5.67</x:v>
      </x:c>
      <x:c r="N26" s="12" t="str">
        <x:v>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x:v>
      </x:c>
      <x:c r="O26" s="12" t="str">
        <x:v>https://www.onetonline.org/link/summary/25-1022.00</x:v>
      </x:c>
      <x:c r="P26" s="12" t="str">
        <x:v>Use the subject-specific postsecondary teaching profile.</x:v>
      </x:c>
    </x:row>
    <x:row r="27" ht="37.5" customHeight="1">
      <x:c r="A27" s="15" t="str">
        <x:v>210210</x:v>
      </x:c>
      <x:c r="B27" s="12" t="str">
        <x:v>Agricultural and food scientists</x:v>
      </x:c>
      <x:c r="C27" s="35" t="str">
        <x:v>19-1011.00</x:v>
      </x:c>
      <x:c r="D27" s="12" t="str">
        <x:v>Animal Scientists</x:v>
      </x:c>
      <x:c r="E27" s="2" t="str">
        <x:v>Include</x:v>
      </x:c>
      <x:c r="F27" s="2" t="str">
        <x:v>Yes</x:v>
      </x:c>
      <x:c r="G27" s="15" t="str">
        <x:v>6/6</x:v>
      </x:c>
      <x:c r="H27" s="18" t="n">
        <x:v>5.33</x:v>
      </x:c>
      <x:c r="I27" s="18" t="n">
        <x:v>4.5</x:v>
      </x:c>
      <x:c r="J27" s="18" t="n">
        <x:v>5.33</x:v>
      </x:c>
      <x:c r="K27" s="18" t="n">
        <x:v>3.33</x:v>
      </x:c>
      <x:c r="L27" s="18" t="n">
        <x:v>3</x:v>
      </x:c>
      <x:c r="M27" s="18" t="n">
        <x:v>5.33</x:v>
      </x:c>
      <x:c r="N27" s="12" t="str">
        <x:v>Conduct research in the genetics, nutrition, reproduction, growth, and development of domestic farm animals.</x:v>
      </x:c>
      <x:c r="O27" s="12" t="str">
        <x:v>https://www.onetonline.org/link/summary/19-1011.00</x:v>
      </x:c>
      <x:c r="P27" s="12" t="str">
        <x:v>Mean of animal, food, and soil/plant scientists.</x:v>
      </x:c>
    </x:row>
    <x:row r="28" ht="37.5" customHeight="1">
      <x:c r="A28" s="15" t="str">
        <x:v>210210</x:v>
      </x:c>
      <x:c r="B28" s="12" t="str">
        <x:v>Agricultural and food scientists</x:v>
      </x:c>
      <x:c r="C28" s="35" t="str">
        <x:v>19-1012.00</x:v>
      </x:c>
      <x:c r="D28" s="12" t="str">
        <x:v>Food Scientists and Technologists</x:v>
      </x:c>
      <x:c r="E28" s="2" t="str">
        <x:v>Include</x:v>
      </x:c>
      <x:c r="F28" s="2" t="str">
        <x:v>Yes</x:v>
      </x:c>
      <x:c r="G28" s="15" t="str">
        <x:v>6/6</x:v>
      </x:c>
      <x:c r="H28" s="18" t="n">
        <x:v>5</x:v>
      </x:c>
      <x:c r="I28" s="18" t="n">
        <x:v>4.5</x:v>
      </x:c>
      <x:c r="J28" s="18" t="n">
        <x:v>4.67</x:v>
      </x:c>
      <x:c r="K28" s="18" t="n">
        <x:v>4.33</x:v>
      </x:c>
      <x:c r="L28" s="18" t="n">
        <x:v>5</x:v>
      </x:c>
      <x:c r="M28" s="18" t="n">
        <x:v>4.33</x:v>
      </x:c>
      <x:c r="N28" s="12" t="str">
        <x:v>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x:v>
      </x:c>
      <x:c r="O28" s="12" t="str">
        <x:v>https://www.onetonline.org/link/summary/19-1012.00</x:v>
      </x:c>
      <x:c r="P28" s="12" t="str">
        <x:v>Mean of animal, food, and soil/plant scientists.</x:v>
      </x:c>
    </x:row>
    <x:row r="29" ht="37.5" customHeight="1">
      <x:c r="A29" s="15" t="str">
        <x:v>210210</x:v>
      </x:c>
      <x:c r="B29" s="12" t="str">
        <x:v>Agricultural and food scientists</x:v>
      </x:c>
      <x:c r="C29" s="35" t="str">
        <x:v>19-1013.00</x:v>
      </x:c>
      <x:c r="D29" s="12" t="str">
        <x:v>Soil and Plant Scientists</x:v>
      </x:c>
      <x:c r="E29" s="2" t="str">
        <x:v>Include</x:v>
      </x:c>
      <x:c r="F29" s="2" t="str">
        <x:v>Yes</x:v>
      </x:c>
      <x:c r="G29" s="15" t="str">
        <x:v>6/6</x:v>
      </x:c>
      <x:c r="H29" s="18" t="n">
        <x:v>6</x:v>
      </x:c>
      <x:c r="I29" s="18" t="n">
        <x:v>5</x:v>
      </x:c>
      <x:c r="J29" s="18" t="n">
        <x:v>5.33</x:v>
      </x:c>
      <x:c r="K29" s="18" t="n">
        <x:v>4</x:v>
      </x:c>
      <x:c r="L29" s="18" t="n">
        <x:v>3.33</x:v>
      </x:c>
      <x:c r="M29" s="18" t="n">
        <x:v>5.67</x:v>
      </x:c>
      <x:c r="N29" s="12" t="str">
        <x:v>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x:v>
      </x:c>
      <x:c r="O29" s="12" t="str">
        <x:v>https://www.onetonline.org/link/summary/19-1013.00</x:v>
      </x:c>
      <x:c r="P29" s="12" t="str">
        <x:v>Mean of animal, food, and soil/plant scientists.</x:v>
      </x:c>
    </x:row>
    <x:row r="30" ht="36" customHeight="1">
      <x:c r="A30" s="15" t="str">
        <x:v>220220</x:v>
      </x:c>
      <x:c r="B30" s="12" t="str">
        <x:v>Biochemists and biophysicists</x:v>
      </x:c>
      <x:c r="C30" s="35" t="str">
        <x:v>19-1021.00</x:v>
      </x:c>
      <x:c r="D30" s="12" t="str">
        <x:v>Biochemists and Biophysicists</x:v>
      </x:c>
      <x:c r="E30" s="2" t="str">
        <x:v>Include</x:v>
      </x:c>
      <x:c r="F30" s="2" t="str">
        <x:v>Yes</x:v>
      </x:c>
      <x:c r="G30" s="15" t="str">
        <x:v>6/6</x:v>
      </x:c>
      <x:c r="H30" s="18" t="n">
        <x:v>5.67</x:v>
      </x:c>
      <x:c r="I30" s="18" t="n">
        <x:v>5.67</x:v>
      </x:c>
      <x:c r="J30" s="18" t="n">
        <x:v>6</x:v>
      </x:c>
      <x:c r="K30" s="18" t="n">
        <x:v>3.67</x:v>
      </x:c>
      <x:c r="L30" s="18" t="n">
        <x:v>3.67</x:v>
      </x:c>
      <x:c r="M30" s="18" t="n">
        <x:v>5</x:v>
      </x:c>
      <x:c r="N30" s="12" t="str">
        <x:v>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x:v>
      </x:c>
      <x:c r="O30" s="12" t="str">
        <x:v>https://www.onetonline.org/link/summary/19-1021.00</x:v>
      </x:c>
      <x:c r="P30" s="12" t="str">
        <x:v>Occupation titles and scope align.</x:v>
      </x:c>
    </x:row>
    <x:row r="31" ht="37.5" customHeight="1">
      <x:c r="A31" s="15" t="str">
        <x:v>220230</x:v>
      </x:c>
      <x:c r="B31" s="12" t="str">
        <x:v>Biological scientists (e.g., botanists, ecologists, zoologists)</x:v>
      </x:c>
      <x:c r="C31" s="35" t="str">
        <x:v>19-1022.00</x:v>
      </x:c>
      <x:c r="D31" s="12" t="str">
        <x:v>Microbiologists</x:v>
      </x:c>
      <x:c r="E31" s="2" t="str">
        <x:v>Include</x:v>
      </x:c>
      <x:c r="F31" s="2" t="str">
        <x:v>Yes</x:v>
      </x:c>
      <x:c r="G31" s="15" t="str">
        <x:v>6/6</x:v>
      </x:c>
      <x:c r="H31" s="18" t="n">
        <x:v>5</x:v>
      </x:c>
      <x:c r="I31" s="18" t="n">
        <x:v>4.67</x:v>
      </x:c>
      <x:c r="J31" s="18" t="n">
        <x:v>5.33</x:v>
      </x:c>
      <x:c r="K31" s="18" t="n">
        <x:v>4.33</x:v>
      </x:c>
      <x:c r="L31" s="18" t="n">
        <x:v>4</x:v>
      </x:c>
      <x:c r="M31" s="18" t="n">
        <x:v>5</x:v>
      </x:c>
      <x:c r="N31" s="12" t="str">
        <x:v>Investigate the growth, structure, development, and other characteristics of microscopic organisms, such as bacteria, algae, or fungi. Includes medical microbiologists who study the relationship between organisms and disease or the effects of antibiotics on microorganisms.</x:v>
      </x:c>
      <x:c r="O31" s="12" t="str">
        <x:v>https://www.onetonline.org/link/summary/19-1022.00</x:v>
      </x:c>
      <x:c r="P31" s="12" t="str">
        <x:v>Microbiologists, zoologists and other biological scientists; average rated members.</x:v>
      </x:c>
    </x:row>
    <x:row r="32" ht="37.5" customHeight="1">
      <x:c r="A32" s="15" t="str">
        <x:v>220230</x:v>
      </x:c>
      <x:c r="B32" s="12" t="str">
        <x:v>Biological scientists (e.g., botanists, ecologists, zoologists)</x:v>
      </x:c>
      <x:c r="C32" s="35" t="str">
        <x:v>19-1023.00</x:v>
      </x:c>
      <x:c r="D32" s="12" t="str">
        <x:v>Zoologists and Wildlife Biologists</x:v>
      </x:c>
      <x:c r="E32" s="2" t="str">
        <x:v>Include</x:v>
      </x:c>
      <x:c r="F32" s="2" t="str">
        <x:v>Yes</x:v>
      </x:c>
      <x:c r="G32" s="15" t="str">
        <x:v>6/6</x:v>
      </x:c>
      <x:c r="H32" s="18" t="n">
        <x:v>5.33</x:v>
      </x:c>
      <x:c r="I32" s="18" t="n">
        <x:v>4.83</x:v>
      </x:c>
      <x:c r="J32" s="18" t="n">
        <x:v>5</x:v>
      </x:c>
      <x:c r="K32" s="18" t="n">
        <x:v>3</x:v>
      </x:c>
      <x:c r="L32" s="18" t="n">
        <x:v>3</x:v>
      </x:c>
      <x:c r="M32" s="18" t="n">
        <x:v>3.67</x:v>
      </x:c>
      <x:c r="N32" s="12" t="str">
        <x:v>Study the origins, behavior, diseases, genetics, and life processes of animals and wildlife. May specialize in wildlife research and management. May collect and analyze biological data to determine the environmental effects of present and potential use of land and water habitats.</x:v>
      </x:c>
      <x:c r="O32" s="12" t="str">
        <x:v>https://www.onetonline.org/link/summary/19-1023.00</x:v>
      </x:c>
      <x:c r="P32" s="12" t="str">
        <x:v>Microbiologists, zoologists and other biological scientists; average rated members.</x:v>
      </x:c>
    </x:row>
    <x:row r="33" ht="37.5" customHeight="1">
      <x:c r="A33" s="15" t="str">
        <x:v>220230</x:v>
      </x:c>
      <x:c r="B33" s="12" t="str">
        <x:v>Biological scientists (e.g., botanists, ecologists, zoologists)</x:v>
      </x:c>
      <x:c r="C33" s="35" t="str">
        <x:v>19-1029.00</x:v>
      </x:c>
      <x:c r="D33" s="12" t="str">
        <x:v>Biological Scientists, All Other</x:v>
      </x:c>
      <x:c r="E33" s="2" t="str">
        <x:v>Exclude (no Work Values)</x:v>
      </x:c>
      <x:c r="F33" s="2" t="str">
        <x:v>Yes</x:v>
      </x:c>
      <x:c r="G33" s="15" t="str">
        <x:v>0/6</x:v>
      </x:c>
      <x:c r="H33" s="18"/>
      <x:c r="I33" s="18"/>
      <x:c r="J33" s="18"/>
      <x:c r="K33" s="18"/>
      <x:c r="L33" s="18"/>
      <x:c r="M33" s="18"/>
      <x:c r="N33" s="12" t="str">
        <x:v>All biological scientists not listed separately.</x:v>
      </x:c>
      <x:c r="O33" s="12" t="str">
        <x:v>https://www.onetonline.org/link/summary/19-1029.00</x:v>
      </x:c>
      <x:c r="P33" s="12" t="str">
        <x:v>Microbiologists, zoologists and other biological scientists; average rated members.</x:v>
      </x:c>
    </x:row>
    <x:row r="34" ht="37.5" customHeight="1">
      <x:c r="A34" s="15" t="str">
        <x:v>220250</x:v>
      </x:c>
      <x:c r="B34" s="12" t="str">
        <x:v>Medical scientists (excluding practitioners)</x:v>
      </x:c>
      <x:c r="C34" s="35" t="str">
        <x:v>19-1041.00</x:v>
      </x:c>
      <x:c r="D34" s="12" t="str">
        <x:v>Epidemiologists</x:v>
      </x:c>
      <x:c r="E34" s="2" t="str">
        <x:v>Include</x:v>
      </x:c>
      <x:c r="F34" s="2" t="str">
        <x:v>Yes</x:v>
      </x:c>
      <x:c r="G34" s="15" t="str">
        <x:v>6/6</x:v>
      </x:c>
      <x:c r="H34" s="18" t="n">
        <x:v>5.67</x:v>
      </x:c>
      <x:c r="I34" s="18" t="n">
        <x:v>4.5</x:v>
      </x:c>
      <x:c r="J34" s="18" t="n">
        <x:v>5.33</x:v>
      </x:c>
      <x:c r="K34" s="18" t="n">
        <x:v>5</x:v>
      </x:c>
      <x:c r="L34" s="18" t="n">
        <x:v>4.33</x:v>
      </x:c>
      <x:c r="M34" s="18" t="n">
        <x:v>5.33</x:v>
      </x:c>
      <x:c r="N34" s="12" t="str">
        <x:v>Investigate and describe the determinants and distribution of disease, disability, or health outcomes. May develop the means for prevention and control.</x:v>
      </x:c>
      <x:c r="O34" s="12" t="str">
        <x:v>https://www.onetonline.org/link/summary/19-1041.00</x:v>
      </x:c>
      <x:c r="P34" s="12" t="str">
        <x:v>Nonclinical medical research: epidemiologists and other medical scientists.</x:v>
      </x:c>
    </x:row>
    <x:row r="35" ht="37.5" customHeight="1">
      <x:c r="A35" s="15" t="str">
        <x:v>220250</x:v>
      </x:c>
      <x:c r="B35" s="12" t="str">
        <x:v>Medical scientists (excluding practitioners)</x:v>
      </x:c>
      <x:c r="C35" s="35" t="str">
        <x:v>19-1042.00</x:v>
      </x:c>
      <x:c r="D35" s="12" t="str">
        <x:v>Medical Scientists, Except Epidemiologists</x:v>
      </x:c>
      <x:c r="E35" s="2" t="str">
        <x:v>Include</x:v>
      </x:c>
      <x:c r="F35" s="2" t="str">
        <x:v>Yes</x:v>
      </x:c>
      <x:c r="G35" s="15" t="str">
        <x:v>6/6</x:v>
      </x:c>
      <x:c r="H35" s="18" t="n">
        <x:v>5.67</x:v>
      </x:c>
      <x:c r="I35" s="18" t="n">
        <x:v>5.5</x:v>
      </x:c>
      <x:c r="J35" s="18" t="n">
        <x:v>5.67</x:v>
      </x:c>
      <x:c r="K35" s="18" t="n">
        <x:v>4.33</x:v>
      </x:c>
      <x:c r="L35" s="18" t="n">
        <x:v>3.33</x:v>
      </x:c>
      <x:c r="M35" s="18" t="n">
        <x:v>5.67</x:v>
      </x:c>
      <x:c r="N35" s="12" t="str">
        <x:v>Conduct research dealing with the understanding of human diseases and the improvement of human health. Engage in clinical investigation, research and development, or other related activities.</x:v>
      </x:c>
      <x:c r="O35" s="12" t="str">
        <x:v>https://www.onetonline.org/link/summary/19-1042.00</x:v>
      </x:c>
      <x:c r="P35" s="12" t="str">
        <x:v>Nonclinical medical research: epidemiologists and other medical scientists.</x:v>
      </x:c>
    </x:row>
    <x:row r="36" ht="36" customHeight="1">
      <x:c r="A36" s="15" t="str">
        <x:v>220270</x:v>
      </x:c>
      <x:c r="B36" s="12" t="str">
        <x:v>Other life scientists</x:v>
      </x:c>
      <x:c r="C36" s="35" t="str">
        <x:v>19-1099.00</x:v>
      </x:c>
      <x:c r="D36" s="12" t="str">
        <x:v>Life Scientists, All Other</x:v>
      </x:c>
      <x:c r="E36" s="2" t="str">
        <x:v>Exclude (no Work Values)</x:v>
      </x:c>
      <x:c r="F36" s="2" t="str">
        <x:v>Yes</x:v>
      </x:c>
      <x:c r="G36" s="15" t="str">
        <x:v>0/6</x:v>
      </x:c>
      <x:c r="H36" s="18"/>
      <x:c r="I36" s="18"/>
      <x:c r="J36" s="18"/>
      <x:c r="K36" s="18"/>
      <x:c r="L36" s="18"/>
      <x:c r="M36" s="18"/>
      <x:c r="N36" s="12" t="str">
        <x:v>All life scientists not listed separately.</x:v>
      </x:c>
      <x:c r="O36" s="12" t="str">
        <x:v>https://www.onetonline.org/link/summary/19-1099.00</x:v>
      </x:c>
      <x:c r="P36" s="12" t="str">
        <x:v>No Work Values for Life Scientists, All Other .00.</x:v>
      </x:c>
    </x:row>
    <x:row r="37" ht="36" customHeight="1">
      <x:c r="A37" s="15" t="str">
        <x:v>230240</x:v>
      </x:c>
      <x:c r="B37" s="12" t="str">
        <x:v>Conservation scientists and foresters</x:v>
      </x:c>
      <x:c r="C37" s="35" t="str">
        <x:v>19-1031.00</x:v>
      </x:c>
      <x:c r="D37" s="12" t="str">
        <x:v>Conservation Scientists</x:v>
      </x:c>
      <x:c r="E37" s="2" t="str">
        <x:v>Include</x:v>
      </x:c>
      <x:c r="F37" s="2" t="str">
        <x:v>Yes</x:v>
      </x:c>
      <x:c r="G37" s="15" t="str">
        <x:v>6/6</x:v>
      </x:c>
      <x:c r="H37" s="18" t="n">
        <x:v>5</x:v>
      </x:c>
      <x:c r="I37" s="18" t="n">
        <x:v>5</x:v>
      </x:c>
      <x:c r="J37" s="18" t="n">
        <x:v>4.33</x:v>
      </x:c>
      <x:c r="K37" s="18" t="n">
        <x:v>5.67</x:v>
      </x:c>
      <x:c r="L37" s="18" t="n">
        <x:v>3.33</x:v>
      </x:c>
      <x:c r="M37" s="18" t="n">
        <x:v>5</x:v>
      </x:c>
      <x:c r="N37" s="12" t="str">
        <x:v>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x:v>
      </x:c>
      <x:c r="O37" s="12" t="str">
        <x:v>https://www.onetonline.org/link/summary/19-1031.00</x:v>
      </x:c>
      <x:c r="P37" s="12" t="str">
        <x:v>Mean of conservation scientists and foresters.</x:v>
      </x:c>
    </x:row>
    <x:row r="38" ht="36" customHeight="1">
      <x:c r="A38" s="15" t="str">
        <x:v>230240</x:v>
      </x:c>
      <x:c r="B38" s="12" t="str">
        <x:v>Conservation scientists and foresters</x:v>
      </x:c>
      <x:c r="C38" s="35" t="str">
        <x:v>19-1032.00</x:v>
      </x:c>
      <x:c r="D38" s="12" t="str">
        <x:v>Foresters</x:v>
      </x:c>
      <x:c r="E38" s="2" t="str">
        <x:v>Include</x:v>
      </x:c>
      <x:c r="F38" s="2" t="str">
        <x:v>Yes</x:v>
      </x:c>
      <x:c r="G38" s="15" t="str">
        <x:v>6/6</x:v>
      </x:c>
      <x:c r="H38" s="18" t="n">
        <x:v>4</x:v>
      </x:c>
      <x:c r="I38" s="18" t="n">
        <x:v>4.5</x:v>
      </x:c>
      <x:c r="J38" s="18" t="n">
        <x:v>3.67</x:v>
      </x:c>
      <x:c r="K38" s="18" t="n">
        <x:v>4</x:v>
      </x:c>
      <x:c r="L38" s="18" t="n">
        <x:v>3.67</x:v>
      </x:c>
      <x:c r="M38" s="18" t="n">
        <x:v>5.67</x:v>
      </x:c>
      <x:c r="N38" s="12" t="str">
        <x:v>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x:v>
      </x:c>
      <x:c r="O38" s="12" t="str">
        <x:v>https://www.onetonline.org/link/summary/19-1032.00</x:v>
      </x:c>
      <x:c r="P38" s="12" t="str">
        <x:v>Mean of conservation scientists and foresters.</x:v>
      </x:c>
    </x:row>
    <x:row r="39" ht="36" customHeight="1">
      <x:c r="A39" s="15" t="str">
        <x:v>282710</x:v>
      </x:c>
      <x:c r="B39" s="12" t="str">
        <x:v>Postsecondary teachers - Agriculture</x:v>
      </x:c>
      <x:c r="C39" s="35" t="str">
        <x:v>25-1041.00</x:v>
      </x:c>
      <x:c r="D39" s="12" t="str">
        <x:v>Agricultural Sciences Teachers, Postsecondary</x:v>
      </x:c>
      <x:c r="E39" s="2" t="str">
        <x:v>Include</x:v>
      </x:c>
      <x:c r="F39" s="2" t="str">
        <x:v>Yes</x:v>
      </x:c>
      <x:c r="G39" s="15" t="str">
        <x:v>6/6</x:v>
      </x:c>
      <x:c r="H39" s="18" t="n">
        <x:v>5.67</x:v>
      </x:c>
      <x:c r="I39" s="18" t="n">
        <x:v>6</x:v>
      </x:c>
      <x:c r="J39" s="18" t="n">
        <x:v>5.67</x:v>
      </x:c>
      <x:c r="K39" s="18" t="n">
        <x:v>5</x:v>
      </x:c>
      <x:c r="L39" s="18" t="n">
        <x:v>3.67</x:v>
      </x:c>
      <x:c r="M39" s="18" t="n">
        <x:v>5.67</x:v>
      </x:c>
      <x:c r="N39" s="12" t="str">
        <x:v>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x:v>
      </x:c>
      <x:c r="O39" s="12" t="str">
        <x:v>https://www.onetonline.org/link/summary/25-1041.00</x:v>
      </x:c>
      <x:c r="P39" s="12" t="str">
        <x:v>Use the subject-specific postsecondary teaching profile.</x:v>
      </x:c>
    </x:row>
    <x:row r="40" ht="36" customHeight="1">
      <x:c r="A40" s="15" t="str">
        <x:v>282730</x:v>
      </x:c>
      <x:c r="B40" s="12" t="str">
        <x:v>Postsecondary teachers - Biological sciences</x:v>
      </x:c>
      <x:c r="C40" s="35" t="str">
        <x:v>25-1042.00</x:v>
      </x:c>
      <x:c r="D40" s="12" t="str">
        <x:v>Biological Science Teachers, Postsecondary</x:v>
      </x:c>
      <x:c r="E40" s="2" t="str">
        <x:v>Include</x:v>
      </x:c>
      <x:c r="F40" s="2" t="str">
        <x:v>Yes</x:v>
      </x:c>
      <x:c r="G40" s="15" t="str">
        <x:v>6/6</x:v>
      </x:c>
      <x:c r="H40" s="18" t="n">
        <x:v>5.67</x:v>
      </x:c>
      <x:c r="I40" s="18" t="n">
        <x:v>5.83</x:v>
      </x:c>
      <x:c r="J40" s="18" t="n">
        <x:v>5.67</x:v>
      </x:c>
      <x:c r="K40" s="18" t="n">
        <x:v>5</x:v>
      </x:c>
      <x:c r="L40" s="18" t="n">
        <x:v>3.67</x:v>
      </x:c>
      <x:c r="M40" s="18" t="n">
        <x:v>5.67</x:v>
      </x:c>
      <x:c r="N40" s="12" t="str">
        <x:v>Teach courses in biological sciences. Includes both teachers primarily engaged in teaching and those who do a combination of teaching and research.</x:v>
      </x:c>
      <x:c r="O40" s="12" t="str">
        <x:v>https://www.onetonline.org/link/summary/25-1042.00</x:v>
      </x:c>
      <x:c r="P40" s="12" t="str">
        <x:v>Use the subject-specific postsecondary teaching profile.</x:v>
      </x:c>
    </x:row>
    <x:row r="41" ht="37.5" customHeight="1">
      <x:c r="A41" s="15" t="str">
        <x:v>282970</x:v>
      </x:c>
      <x:c r="B41" s="12" t="str">
        <x:v>Postsecondary teachers - Other life and physical sciences (e.g., conservation, etc.)</x:v>
      </x:c>
      <x:c r="C41" s="35" t="str">
        <x:v>25-1043.00</x:v>
      </x:c>
      <x:c r="D41" s="12" t="str">
        <x:v>Forestry and Conservation Science Teachers, Postsecondary</x:v>
      </x:c>
      <x:c r="E41" s="2" t="str">
        <x:v>Include</x:v>
      </x:c>
      <x:c r="F41" s="2" t="str">
        <x:v>Yes</x:v>
      </x:c>
      <x:c r="G41" s="15" t="str">
        <x:v>6/6</x:v>
      </x:c>
      <x:c r="H41" s="18" t="n">
        <x:v>5.33</x:v>
      </x:c>
      <x:c r="I41" s="18" t="n">
        <x:v>5.5</x:v>
      </x:c>
      <x:c r="J41" s="18" t="n">
        <x:v>5</x:v>
      </x:c>
      <x:c r="K41" s="18" t="n">
        <x:v>4</x:v>
      </x:c>
      <x:c r="L41" s="18" t="n">
        <x:v>3.33</x:v>
      </x:c>
      <x:c r="M41" s="18" t="n">
        <x:v>5.33</x:v>
      </x:c>
      <x:c r="N41" s="12" t="str">
        <x:v>Teach courses in forestry and conservation science. Includes both teachers primarily engaged in teaching and those who do a combination of teaching and research.</x:v>
      </x:c>
      <x:c r="O41" s="12" t="str">
        <x:v>https://www.onetonline.org/link/summary/25-1043.00</x:v>
      </x:c>
      <x:c r="P41" s="12" t="str">
        <x:v>Forestry/conservation teaching represents the remaining life/physical-science teaching category; individual teaching fields are unknown.</x:v>
      </x:c>
    </x:row>
    <x:row r="42" ht="37.5" customHeight="1">
      <x:c r="A42" s="15" t="str">
        <x:v>282970</x:v>
      </x:c>
      <x:c r="B42" s="12" t="str">
        <x:v>Postsecondary teachers - Other life and physical sciences (e.g., conservation, etc.)</x:v>
      </x:c>
      <x:c r="C42" s="35" t="str">
        <x:v>25-1051.00</x:v>
      </x:c>
      <x:c r="D42" s="12" t="str">
        <x:v>Atmospheric, Earth, Marine, and Space Sciences Teachers, Postsecondary</x:v>
      </x:c>
      <x:c r="E42" s="2" t="str">
        <x:v>Exclude (outside scope)</x:v>
      </x:c>
      <x:c r="F42" s="2" t="str">
        <x:v>Yes</x:v>
      </x:c>
      <x:c r="G42" s="15" t="str">
        <x:v>6/6</x:v>
      </x:c>
      <x:c r="H42" s="18" t="n">
        <x:v>6</x:v>
      </x:c>
      <x:c r="I42" s="18" t="n">
        <x:v>5.33</x:v>
      </x:c>
      <x:c r="J42" s="18" t="n">
        <x:v>5.33</x:v>
      </x:c>
      <x:c r="K42" s="18" t="n">
        <x:v>4</x:v>
      </x:c>
      <x:c r="L42" s="18" t="n">
        <x:v>2.67</x:v>
      </x:c>
      <x:c r="M42" s="18" t="n">
        <x:v>5.67</x:v>
      </x:c>
      <x:c r="N42" s="12" t="str">
        <x:v>Teach courses in the physical sciences, except chemistry and physics. Includes both teachers primarily engaged in teaching, and those who do a combination of teaching and research.</x:v>
      </x:c>
      <x:c r="O42" s="12" t="str">
        <x:v>https://www.onetonline.org/link/summary/25-1051.00</x:v>
      </x:c>
      <x:c r="P42" s="12" t="str">
        <x:v>Outside the defined group: use forestry/conservation teaching as the residual proxy.</x:v>
      </x:c>
    </x:row>
    <x:row r="43" ht="37.5" customHeight="1">
      <x:c r="A43" s="15" t="str">
        <x:v>282970</x:v>
      </x:c>
      <x:c r="B43" s="12" t="str">
        <x:v>Postsecondary teachers - Other life and physical sciences (e.g., conservation, etc.)</x:v>
      </x:c>
      <x:c r="C43" s="35" t="str">
        <x:v>25-1053.00</x:v>
      </x:c>
      <x:c r="D43" s="12" t="str">
        <x:v>Environmental Science Teachers, Postsecondary</x:v>
      </x:c>
      <x:c r="E43" s="2" t="str">
        <x:v>Exclude (outside scope)</x:v>
      </x:c>
      <x:c r="F43" s="2" t="str">
        <x:v>Yes</x:v>
      </x:c>
      <x:c r="G43" s="15" t="str">
        <x:v>6/6</x:v>
      </x:c>
      <x:c r="H43" s="18" t="n">
        <x:v>6</x:v>
      </x:c>
      <x:c r="I43" s="18" t="n">
        <x:v>5.17</x:v>
      </x:c>
      <x:c r="J43" s="18" t="n">
        <x:v>5.33</x:v>
      </x:c>
      <x:c r="K43" s="18" t="n">
        <x:v>4</x:v>
      </x:c>
      <x:c r="L43" s="18" t="n">
        <x:v>2.67</x:v>
      </x:c>
      <x:c r="M43" s="18" t="n">
        <x:v>5.33</x:v>
      </x:c>
      <x:c r="N43" s="12" t="str">
        <x:v>Teach courses in environmental science. Includes both teachers primarily engaged in teaching and those who do a combination of teaching and research.</x:v>
      </x:c>
      <x:c r="O43" s="12" t="str">
        <x:v>https://www.onetonline.org/link/summary/25-1053.00</x:v>
      </x:c>
      <x:c r="P43" s="12" t="str">
        <x:v>Outside the defined group: use forestry/conservation teaching as the residual proxy.</x:v>
      </x:c>
    </x:row>
    <x:row r="44" ht="36" customHeight="1">
      <x:c r="A44" s="15" t="str">
        <x:v>311930</x:v>
      </x:c>
      <x:c r="B44" s="12" t="str">
        <x:v>Chemists, except biochemists</x:v>
      </x:c>
      <x:c r="C44" s="35" t="str">
        <x:v>19-2031.00</x:v>
      </x:c>
      <x:c r="D44" s="12" t="str">
        <x:v>Chemists</x:v>
      </x:c>
      <x:c r="E44" s="2" t="str">
        <x:v>Include</x:v>
      </x:c>
      <x:c r="F44" s="2" t="str">
        <x:v>Yes</x:v>
      </x:c>
      <x:c r="G44" s="15" t="str">
        <x:v>6/6</x:v>
      </x:c>
      <x:c r="H44" s="18" t="n">
        <x:v>5.67</x:v>
      </x:c>
      <x:c r="I44" s="18" t="n">
        <x:v>5.17</x:v>
      </x:c>
      <x:c r="J44" s="18" t="n">
        <x:v>5</x:v>
      </x:c>
      <x:c r="K44" s="18" t="n">
        <x:v>3</x:v>
      </x:c>
      <x:c r="L44" s="18" t="n">
        <x:v>4.67</x:v>
      </x:c>
      <x:c r="M44" s="18" t="n">
        <x:v>5.33</x:v>
      </x:c>
      <x:c r="N44" s="12" t="str">
        <x:v>Conduct qualitative and quantitative chemical analyses or experiments in laboratories for quality or process control or to develop new products or knowledge.</x:v>
      </x:c>
      <x:c r="O44" s="12" t="str">
        <x:v>https://www.onetonline.org/link/summary/19-2031.00</x:v>
      </x:c>
      <x:c r="P44" s="12" t="str">
        <x:v>SOC Chemists also excludes biochemists and biophysicists.</x:v>
      </x:c>
    </x:row>
    <x:row r="45" ht="36" customHeight="1">
      <x:c r="A45" s="15" t="str">
        <x:v>321920</x:v>
      </x:c>
      <x:c r="B45" s="12" t="str">
        <x:v>Atmospheric and space scientists</x:v>
      </x:c>
      <x:c r="C45" s="35" t="str">
        <x:v>19-2021.00</x:v>
      </x:c>
      <x:c r="D45" s="12" t="str">
        <x:v>Atmospheric and Space Scientists</x:v>
      </x:c>
      <x:c r="E45" s="2" t="str">
        <x:v>Include</x:v>
      </x:c>
      <x:c r="F45" s="2" t="str">
        <x:v>Yes</x:v>
      </x:c>
      <x:c r="G45" s="15" t="str">
        <x:v>6/6</x:v>
      </x:c>
      <x:c r="H45" s="18" t="n">
        <x:v>5.33</x:v>
      </x:c>
      <x:c r="I45" s="18" t="n">
        <x:v>5</x:v>
      </x:c>
      <x:c r="J45" s="18" t="n">
        <x:v>4.67</x:v>
      </x:c>
      <x:c r="K45" s="18" t="n">
        <x:v>5</x:v>
      </x:c>
      <x:c r="L45" s="18" t="n">
        <x:v>3</x:v>
      </x:c>
      <x:c r="M45" s="18" t="n">
        <x:v>5</x:v>
      </x:c>
      <x:c r="N45" s="12" t="str">
        <x:v>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x:v>
      </x:c>
      <x:c r="O45" s="12" t="str">
        <x:v>https://www.onetonline.org/link/summary/19-2021.00</x:v>
      </x:c>
      <x:c r="P45" s="12" t="str">
        <x:v>Occupation titles and scope align.</x:v>
      </x:c>
    </x:row>
    <x:row r="46" ht="36" customHeight="1">
      <x:c r="A46" s="15" t="str">
        <x:v>321940</x:v>
      </x:c>
      <x:c r="B46" s="12" t="str">
        <x:v>Environmental scientists and specialists</x:v>
      </x:c>
      <x:c r="C46" s="35" t="str">
        <x:v>19-2041.00</x:v>
      </x:c>
      <x:c r="D46" s="12" t="str">
        <x:v>Environmental Scientists and Specialists, Including Health</x:v>
      </x:c>
      <x:c r="E46" s="2" t="str">
        <x:v>Include</x:v>
      </x:c>
      <x:c r="F46" s="2" t="str">
        <x:v>Yes</x:v>
      </x:c>
      <x:c r="G46" s="15" t="str">
        <x:v>6/6</x:v>
      </x:c>
      <x:c r="H46" s="18" t="n">
        <x:v>5</x:v>
      </x:c>
      <x:c r="I46" s="18" t="n">
        <x:v>4.67</x:v>
      </x:c>
      <x:c r="J46" s="18" t="n">
        <x:v>5</x:v>
      </x:c>
      <x:c r="K46" s="18" t="n">
        <x:v>4</x:v>
      </x:c>
      <x:c r="L46" s="18" t="n">
        <x:v>3.67</x:v>
      </x:c>
      <x:c r="M46" s="18" t="n">
        <x:v>5</x:v>
      </x:c>
      <x:c r="N46" s="12" t="str">
        <x:v>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x:v>
      </x:c>
      <x:c r="O46" s="12" t="str">
        <x:v>https://www.onetonline.org/link/summary/19-2041.00</x:v>
      </x:c>
      <x:c r="P46" s="12" t="str">
        <x:v>Environmental science, pollution and environmental health scopes align.</x:v>
      </x:c>
    </x:row>
    <x:row r="47" ht="36" customHeight="1">
      <x:c r="A47" s="15" t="str">
        <x:v>321950</x:v>
      </x:c>
      <x:c r="B47" s="12" t="str">
        <x:v>Geoscientists, including hydrologists and oceanographers</x:v>
      </x:c>
      <x:c r="C47" s="35" t="str">
        <x:v>19-2042.00</x:v>
      </x:c>
      <x:c r="D47" s="12" t="str">
        <x:v>Geoscientists, Except Hydrologists and Geographers</x:v>
      </x:c>
      <x:c r="E47" s="2" t="str">
        <x:v>Include</x:v>
      </x:c>
      <x:c r="F47" s="2" t="str">
        <x:v>Yes</x:v>
      </x:c>
      <x:c r="G47" s="15" t="str">
        <x:v>6/6</x:v>
      </x:c>
      <x:c r="H47" s="18" t="n">
        <x:v>5.33</x:v>
      </x:c>
      <x:c r="I47" s="18" t="n">
        <x:v>5.33</x:v>
      </x:c>
      <x:c r="J47" s="18" t="n">
        <x:v>5.33</x:v>
      </x:c>
      <x:c r="K47" s="18" t="n">
        <x:v>3.33</x:v>
      </x:c>
      <x:c r="L47" s="18" t="n">
        <x:v>2.33</x:v>
      </x:c>
      <x:c r="M47" s="18" t="n">
        <x:v>5.67</x:v>
      </x:c>
      <x:c r="N47" s="12" t="str">
        <x:v>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x:v>
      </x:c>
      <x:c r="O47" s="12" t="str">
        <x:v>https://www.onetonline.org/link/summary/19-2042.00</x:v>
      </x:c>
      <x:c r="P47" s="12" t="str">
        <x:v>Mean of geoscientists, including oceanographers, and hydrologists.</x:v>
      </x:c>
    </x:row>
    <x:row r="48" ht="36" customHeight="1">
      <x:c r="A48" s="15" t="str">
        <x:v>321950</x:v>
      </x:c>
      <x:c r="B48" s="12" t="str">
        <x:v>Geoscientists, including hydrologists and oceanographers</x:v>
      </x:c>
      <x:c r="C48" s="35" t="str">
        <x:v>19-2043.00</x:v>
      </x:c>
      <x:c r="D48" s="12" t="str">
        <x:v>Hydrologists</x:v>
      </x:c>
      <x:c r="E48" s="2" t="str">
        <x:v>Include</x:v>
      </x:c>
      <x:c r="F48" s="2" t="str">
        <x:v>Yes</x:v>
      </x:c>
      <x:c r="G48" s="15" t="str">
        <x:v>6/6</x:v>
      </x:c>
      <x:c r="H48" s="18" t="n">
        <x:v>5.33</x:v>
      </x:c>
      <x:c r="I48" s="18" t="n">
        <x:v>5.17</x:v>
      </x:c>
      <x:c r="J48" s="18" t="n">
        <x:v>4</x:v>
      </x:c>
      <x:c r="K48" s="18" t="n">
        <x:v>2.33</x:v>
      </x:c>
      <x:c r="L48" s="18" t="n">
        <x:v>3</x:v>
      </x:c>
      <x:c r="M48" s="18" t="n">
        <x:v>4.33</x:v>
      </x:c>
      <x:c r="N48" s="12" t="str">
        <x:v>Research the distribution, circulation, and physical properties of underground and surface waters; and study the form and intensity of precipitation and its rate of infiltration into the soil, movement through the earth, and return to the ocean and atmosphere.</x:v>
      </x:c>
      <x:c r="O48" s="12" t="str">
        <x:v>https://www.onetonline.org/link/summary/19-2043.00</x:v>
      </x:c>
      <x:c r="P48" s="12" t="str">
        <x:v>Mean of geoscientists, including oceanographers, and hydrologists.</x:v>
      </x:c>
    </x:row>
    <x:row r="49" ht="36" customHeight="1">
      <x:c r="A49" s="15" t="str">
        <x:v>331960</x:v>
      </x:c>
      <x:c r="B49" s="12" t="str">
        <x:v>Physicists, except biophysicists</x:v>
      </x:c>
      <x:c r="C49" s="35" t="str">
        <x:v>19-2012.00</x:v>
      </x:c>
      <x:c r="D49" s="12" t="str">
        <x:v>Physicists</x:v>
      </x:c>
      <x:c r="E49" s="2" t="str">
        <x:v>Include</x:v>
      </x:c>
      <x:c r="F49" s="2" t="str">
        <x:v>Yes</x:v>
      </x:c>
      <x:c r="G49" s="15" t="str">
        <x:v>6/6</x:v>
      </x:c>
      <x:c r="H49" s="18" t="n">
        <x:v>6</x:v>
      </x:c>
      <x:c r="I49" s="18" t="n">
        <x:v>6.17</x:v>
      </x:c>
      <x:c r="J49" s="18" t="n">
        <x:v>6.33</x:v>
      </x:c>
      <x:c r="K49" s="18" t="n">
        <x:v>2.67</x:v>
      </x:c>
      <x:c r="L49" s="18" t="n">
        <x:v>3.67</x:v>
      </x:c>
      <x:c r="M49" s="18" t="n">
        <x:v>6</x:v>
      </x:c>
      <x:c r="N49" s="12" t="str">
        <x:v>Conduct research into physical phenomena, develop theories on the basis of observation and experiments, and devise methods to apply physical laws and theories.</x:v>
      </x:c>
      <x:c r="O49" s="12" t="str">
        <x:v>https://www.onetonline.org/link/summary/19-2012.00</x:v>
      </x:c>
      <x:c r="P49" s="12" t="str">
        <x:v>SOC Physicists also excludes biophysicists.</x:v>
      </x:c>
    </x:row>
    <x:row r="50" ht="37.5" customHeight="1">
      <x:c r="A50" s="15" t="str">
        <x:v>341980</x:v>
      </x:c>
      <x:c r="B50" s="12" t="str">
        <x:v>Other physical scientists, including astronomersa</x:v>
      </x:c>
      <x:c r="C50" s="35" t="str">
        <x:v>19-2011.00</x:v>
      </x:c>
      <x:c r="D50" s="12" t="str">
        <x:v>Astronomers</x:v>
      </x:c>
      <x:c r="E50" s="2" t="str">
        <x:v>Include</x:v>
      </x:c>
      <x:c r="F50" s="2" t="str">
        <x:v>Yes</x:v>
      </x:c>
      <x:c r="G50" s="15" t="str">
        <x:v>6/6</x:v>
      </x:c>
      <x:c r="H50" s="18" t="n">
        <x:v>6</x:v>
      </x:c>
      <x:c r="I50" s="18" t="n">
        <x:v>5.5</x:v>
      </x:c>
      <x:c r="J50" s="18" t="n">
        <x:v>5.67</x:v>
      </x:c>
      <x:c r="K50" s="18" t="n">
        <x:v>2.33</x:v>
      </x:c>
      <x:c r="L50" s="18" t="n">
        <x:v>2.33</x:v>
      </x:c>
      <x:c r="M50" s="18" t="n">
        <x:v>5.67</x:v>
      </x:c>
      <x:c r="N50" s="12" t="str">
        <x:v>Observe, research, and interpret astronomical phenomena to increase basic knowledge or apply such information to practical problems.</x:v>
      </x:c>
      <x:c r="O50" s="12" t="str">
        <x:v>https://www.onetonline.org/link/summary/19-2011.00</x:v>
      </x:c>
      <x:c r="P50" s="12" t="str">
        <x:v>Remaining physical sciences: astronomy, materials science and other physical scientists.</x:v>
      </x:c>
    </x:row>
    <x:row r="51" ht="37.5" customHeight="1">
      <x:c r="A51" s="15" t="str">
        <x:v>341980</x:v>
      </x:c>
      <x:c r="B51" s="12" t="str">
        <x:v>Other physical scientists, including astronomersa</x:v>
      </x:c>
      <x:c r="C51" s="35" t="str">
        <x:v>19-2032.00</x:v>
      </x:c>
      <x:c r="D51" s="12" t="str">
        <x:v>Materials Scientists</x:v>
      </x:c>
      <x:c r="E51" s="2" t="str">
        <x:v>Include</x:v>
      </x:c>
      <x:c r="F51" s="2" t="str">
        <x:v>Yes</x:v>
      </x:c>
      <x:c r="G51" s="15" t="str">
        <x:v>6/6</x:v>
      </x:c>
      <x:c r="H51" s="18" t="n">
        <x:v>5.67</x:v>
      </x:c>
      <x:c r="I51" s="18" t="n">
        <x:v>5.17</x:v>
      </x:c>
      <x:c r="J51" s="18" t="n">
        <x:v>5.33</x:v>
      </x:c>
      <x:c r="K51" s="18" t="n">
        <x:v>3.67</x:v>
      </x:c>
      <x:c r="L51" s="18" t="n">
        <x:v>4</x:v>
      </x:c>
      <x:c r="M51" s="18" t="n">
        <x:v>5.33</x:v>
      </x:c>
      <x:c r="N51" s="12" t="str">
        <x:v>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x:v>
      </x:c>
      <x:c r="O51" s="12" t="str">
        <x:v>https://www.onetonline.org/link/summary/19-2032.00</x:v>
      </x:c>
      <x:c r="P51" s="12" t="str">
        <x:v>Remaining physical sciences: astronomy, materials science and other physical scientists.</x:v>
      </x:c>
    </x:row>
    <x:row r="52" ht="37.5" customHeight="1">
      <x:c r="A52" s="15" t="str">
        <x:v>341980</x:v>
      </x:c>
      <x:c r="B52" s="12" t="str">
        <x:v>Other physical scientists, including astronomersa</x:v>
      </x:c>
      <x:c r="C52" s="35" t="str">
        <x:v>19-2099.00</x:v>
      </x:c>
      <x:c r="D52" s="12" t="str">
        <x:v>Physical Scientists, All Other</x:v>
      </x:c>
      <x:c r="E52" s="2" t="str">
        <x:v>Exclude (no Work Values)</x:v>
      </x:c>
      <x:c r="F52" s="2" t="str">
        <x:v>Yes</x:v>
      </x:c>
      <x:c r="G52" s="15" t="str">
        <x:v>0/6</x:v>
      </x:c>
      <x:c r="H52" s="18"/>
      <x:c r="I52" s="18"/>
      <x:c r="J52" s="18"/>
      <x:c r="K52" s="18"/>
      <x:c r="L52" s="18"/>
      <x:c r="M52" s="18"/>
      <x:c r="N52" s="12" t="str">
        <x:v>All physical scientists not listed separately.</x:v>
      </x:c>
      <x:c r="O52" s="12" t="str">
        <x:v>https://www.onetonline.org/link/summary/19-2099.00</x:v>
      </x:c>
      <x:c r="P52" s="12" t="str">
        <x:v>Remaining physical sciences: astronomy, materials science and other physical scientists.</x:v>
      </x:c>
    </x:row>
    <x:row r="53" ht="36" customHeight="1">
      <x:c r="A53" s="15" t="str">
        <x:v>382750</x:v>
      </x:c>
      <x:c r="B53" s="12" t="str">
        <x:v>Postsecondary teachers - Chemistry</x:v>
      </x:c>
      <x:c r="C53" s="35" t="str">
        <x:v>25-1052.00</x:v>
      </x:c>
      <x:c r="D53" s="12" t="str">
        <x:v>Chemistry Teachers, Postsecondary</x:v>
      </x:c>
      <x:c r="E53" s="2" t="str">
        <x:v>Include</x:v>
      </x:c>
      <x:c r="F53" s="2" t="str">
        <x:v>Yes</x:v>
      </x:c>
      <x:c r="G53" s="15" t="str">
        <x:v>6/6</x:v>
      </x:c>
      <x:c r="H53" s="18" t="n">
        <x:v>6</x:v>
      </x:c>
      <x:c r="I53" s="18" t="n">
        <x:v>5.83</x:v>
      </x:c>
      <x:c r="J53" s="18" t="n">
        <x:v>5.33</x:v>
      </x:c>
      <x:c r="K53" s="18" t="n">
        <x:v>4.67</x:v>
      </x:c>
      <x:c r="L53" s="18" t="n">
        <x:v>3.33</x:v>
      </x:c>
      <x:c r="M53" s="18" t="n">
        <x:v>5.67</x:v>
      </x:c>
      <x:c r="N53" s="12" t="str">
        <x:v>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x:v>
      </x:c>
      <x:c r="O53" s="12" t="str">
        <x:v>https://www.onetonline.org/link/summary/25-1052.00</x:v>
      </x:c>
      <x:c r="P53" s="12" t="str">
        <x:v>Use the subject-specific postsecondary teaching profile.</x:v>
      </x:c>
    </x:row>
    <x:row r="54" ht="37.5" customHeight="1">
      <x:c r="A54" s="15" t="str">
        <x:v>382770</x:v>
      </x:c>
      <x:c r="B54" s="12" t="str">
        <x:v>Postsecondary teachers - Atmospheric, earth, environmental, marine, and space sciences</x:v>
      </x:c>
      <x:c r="C54" s="35" t="str">
        <x:v>25-1051.00</x:v>
      </x:c>
      <x:c r="D54" s="12" t="str">
        <x:v>Atmospheric, Earth, Marine, and Space Sciences Teachers, Postsecondary</x:v>
      </x:c>
      <x:c r="E54" s="2" t="str">
        <x:v>Include</x:v>
      </x:c>
      <x:c r="F54" s="2" t="str">
        <x:v>Yes</x:v>
      </x:c>
      <x:c r="G54" s="15" t="str">
        <x:v>6/6</x:v>
      </x:c>
      <x:c r="H54" s="18" t="n">
        <x:v>6</x:v>
      </x:c>
      <x:c r="I54" s="18" t="n">
        <x:v>5.33</x:v>
      </x:c>
      <x:c r="J54" s="18" t="n">
        <x:v>5.33</x:v>
      </x:c>
      <x:c r="K54" s="18" t="n">
        <x:v>4</x:v>
      </x:c>
      <x:c r="L54" s="18" t="n">
        <x:v>2.67</x:v>
      </x:c>
      <x:c r="M54" s="18" t="n">
        <x:v>5.67</x:v>
      </x:c>
      <x:c r="N54" s="12" t="str">
        <x:v>Teach courses in the physical sciences, except chemistry and physics. Includes both teachers primarily engaged in teaching, and those who do a combination of teaching and research.</x:v>
      </x:c>
      <x:c r="O54" s="12" t="str">
        <x:v>https://www.onetonline.org/link/summary/25-1051.00</x:v>
      </x:c>
      <x:c r="P54" s="12" t="str">
        <x:v>Mean of atmospheric/earth/marine/space-science and environmental-science teachers.</x:v>
      </x:c>
    </x:row>
    <x:row r="55" ht="37.5" customHeight="1">
      <x:c r="A55" s="15" t="str">
        <x:v>382770</x:v>
      </x:c>
      <x:c r="B55" s="12" t="str">
        <x:v>Postsecondary teachers - Atmospheric, earth, environmental, marine, and space sciences</x:v>
      </x:c>
      <x:c r="C55" s="35" t="str">
        <x:v>25-1053.00</x:v>
      </x:c>
      <x:c r="D55" s="12" t="str">
        <x:v>Environmental Science Teachers, Postsecondary</x:v>
      </x:c>
      <x:c r="E55" s="2" t="str">
        <x:v>Include</x:v>
      </x:c>
      <x:c r="F55" s="2" t="str">
        <x:v>Yes</x:v>
      </x:c>
      <x:c r="G55" s="15" t="str">
        <x:v>6/6</x:v>
      </x:c>
      <x:c r="H55" s="18" t="n">
        <x:v>6</x:v>
      </x:c>
      <x:c r="I55" s="18" t="n">
        <x:v>5.17</x:v>
      </x:c>
      <x:c r="J55" s="18" t="n">
        <x:v>5.33</x:v>
      </x:c>
      <x:c r="K55" s="18" t="n">
        <x:v>4</x:v>
      </x:c>
      <x:c r="L55" s="18" t="n">
        <x:v>2.67</x:v>
      </x:c>
      <x:c r="M55" s="18" t="n">
        <x:v>5.33</x:v>
      </x:c>
      <x:c r="N55" s="12" t="str">
        <x:v>Teach courses in environmental science. Includes both teachers primarily engaged in teaching and those who do a combination of teaching and research.</x:v>
      </x:c>
      <x:c r="O55" s="12" t="str">
        <x:v>https://www.onetonline.org/link/summary/25-1053.00</x:v>
      </x:c>
      <x:c r="P55" s="12" t="str">
        <x:v>Mean of atmospheric/earth/marine/space-science and environmental-science teachers.</x:v>
      </x:c>
    </x:row>
    <x:row r="56" ht="36" customHeight="1">
      <x:c r="A56" s="15" t="str">
        <x:v>382890</x:v>
      </x:c>
      <x:c r="B56" s="12" t="str">
        <x:v>Postsecondary teachers - Physics</x:v>
      </x:c>
      <x:c r="C56" s="35" t="str">
        <x:v>25-1054.00</x:v>
      </x:c>
      <x:c r="D56" s="12" t="str">
        <x:v>Physics Teachers, Postsecondary</x:v>
      </x:c>
      <x:c r="E56" s="2" t="str">
        <x:v>Include</x:v>
      </x:c>
      <x:c r="F56" s="2" t="str">
        <x:v>Yes</x:v>
      </x:c>
      <x:c r="G56" s="15" t="str">
        <x:v>6/6</x:v>
      </x:c>
      <x:c r="H56" s="18" t="n">
        <x:v>5.67</x:v>
      </x:c>
      <x:c r="I56" s="18" t="n">
        <x:v>5.67</x:v>
      </x:c>
      <x:c r="J56" s="18" t="n">
        <x:v>5.67</x:v>
      </x:c>
      <x:c r="K56" s="18" t="n">
        <x:v>4.67</x:v>
      </x:c>
      <x:c r="L56" s="18" t="n">
        <x:v>3.67</x:v>
      </x:c>
      <x:c r="M56" s="18" t="n">
        <x:v>5.33</x:v>
      </x:c>
      <x:c r="N56" s="12" t="str">
        <x:v>Teach courses pertaining to the laws of matter and energy. Includes both teachers primarily engaged in teaching and those who do a combination of teaching and research.</x:v>
      </x:c>
      <x:c r="O56" s="12" t="str">
        <x:v>https://www.onetonline.org/link/summary/25-1054.00</x:v>
      </x:c>
      <x:c r="P56" s="12" t="str">
        <x:v>Use the subject-specific postsecondary teaching profile.</x:v>
      </x:c>
    </x:row>
    <x:row r="57" ht="36" customHeight="1">
      <x:c r="A57" s="15" t="str">
        <x:v>412320</x:v>
      </x:c>
      <x:c r="B57" s="12" t="str">
        <x:v>Economists</x:v>
      </x:c>
      <x:c r="C57" s="35" t="str">
        <x:v>19-3011.00</x:v>
      </x:c>
      <x:c r="D57" s="12" t="str">
        <x:v>Economists</x:v>
      </x:c>
      <x:c r="E57" s="2" t="str">
        <x:v>Include</x:v>
      </x:c>
      <x:c r="F57" s="2" t="str">
        <x:v>Yes</x:v>
      </x:c>
      <x:c r="G57" s="15" t="str">
        <x:v>6/6</x:v>
      </x:c>
      <x:c r="H57" s="18" t="n">
        <x:v>5</x:v>
      </x:c>
      <x:c r="I57" s="18" t="n">
        <x:v>5.67</x:v>
      </x:c>
      <x:c r="J57" s="18" t="n">
        <x:v>5</x:v>
      </x:c>
      <x:c r="K57" s="18" t="n">
        <x:v>2.33</x:v>
      </x:c>
      <x:c r="L57" s="18" t="n">
        <x:v>3.33</x:v>
      </x:c>
      <x:c r="M57" s="18" t="n">
        <x:v>5.33</x:v>
      </x:c>
      <x:c r="N57" s="12" t="str">
        <x:v>Conduct research, prepare reports, or formulate plans to address economic problems related to the production and distribution of goods and services or monetary and fiscal policy. May collect and process economic and statistical data using sampling techniques and econometric methods.</x:v>
      </x:c>
      <x:c r="O57" s="12" t="str">
        <x:v>https://www.onetonline.org/link/summary/19-3011.00</x:v>
      </x:c>
      <x:c r="P57" s="12" t="str">
        <x:v>Use the rated .00 profile; omit detailed subtypes.</x:v>
      </x:c>
    </x:row>
    <x:row r="58" ht="36" customHeight="1">
      <x:c r="A58" s="15" t="str">
        <x:v>422350</x:v>
      </x:c>
      <x:c r="B58" s="12" t="str">
        <x:v>Political scientists</x:v>
      </x:c>
      <x:c r="C58" s="35" t="str">
        <x:v>19-3094.00</x:v>
      </x:c>
      <x:c r="D58" s="12" t="str">
        <x:v>Political Scientists</x:v>
      </x:c>
      <x:c r="E58" s="2" t="str">
        <x:v>Include</x:v>
      </x:c>
      <x:c r="F58" s="2" t="str">
        <x:v>Yes</x:v>
      </x:c>
      <x:c r="G58" s="15" t="str">
        <x:v>6/6</x:v>
      </x:c>
      <x:c r="H58" s="18" t="n">
        <x:v>5.67</x:v>
      </x:c>
      <x:c r="I58" s="18" t="n">
        <x:v>5.67</x:v>
      </x:c>
      <x:c r="J58" s="18" t="n">
        <x:v>5.33</x:v>
      </x:c>
      <x:c r="K58" s="18" t="n">
        <x:v>3.33</x:v>
      </x:c>
      <x:c r="L58" s="18" t="n">
        <x:v>2.33</x:v>
      </x:c>
      <x:c r="M58" s="18" t="n">
        <x:v>5</x:v>
      </x:c>
      <x:c r="N58" s="12" t="str">
        <x:v>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x:v>
      </x:c>
      <x:c r="O58" s="12" t="str">
        <x:v>https://www.onetonline.org/link/summary/19-3094.00</x:v>
      </x:c>
      <x:c r="P58" s="12" t="str">
        <x:v>Occupation titles and scope align.</x:v>
      </x:c>
    </x:row>
    <x:row r="59" ht="50.25" customHeight="1">
      <x:c r="A59" s="15" t="str">
        <x:v>432360</x:v>
      </x:c>
      <x:c r="B59" s="12" t="str">
        <x:v>Psychologists - research and applied (e.g., industrial-organizational, experimental)b</x:v>
      </x:c>
      <x:c r="C59" s="35" t="str">
        <x:v>19-3032.00</x:v>
      </x:c>
      <x:c r="D59" s="12" t="str">
        <x:v>Industrial-Organizational Psychologists</x:v>
      </x:c>
      <x:c r="E59" s="2" t="str">
        <x:v>Include</x:v>
      </x:c>
      <x:c r="F59" s="2" t="str">
        <x:v>Yes</x:v>
      </x:c>
      <x:c r="G59" s="15" t="str">
        <x:v>6/6</x:v>
      </x:c>
      <x:c r="H59" s="18" t="n">
        <x:v>5.67</x:v>
      </x:c>
      <x:c r="I59" s="18" t="n">
        <x:v>6.17</x:v>
      </x:c>
      <x:c r="J59" s="18" t="n">
        <x:v>4.67</x:v>
      </x:c>
      <x:c r="K59" s="18" t="n">
        <x:v>6</x:v>
      </x:c>
      <x:c r="L59" s="18" t="n">
        <x:v>5</x:v>
      </x:c>
      <x:c r="M59" s="18" t="n">
        <x:v>5.67</x:v>
      </x:c>
      <x:c r="N59" s="12" t="str">
        <x:v>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x:v>
      </x:c>
      <x:c r="O59" s="12" t="str">
        <x:v>https://www.onetonline.org/link/summary/19-3032.00</x:v>
      </x:c>
      <x:c r="P59" s="12" t="str">
        <x:v>Research/applied psychology is separate from health psychology. Only industrial-organizational psychologists have ratings; other psychologists are unrated.</x:v>
      </x:c>
    </x:row>
    <x:row r="60" ht="50.25" customHeight="1">
      <x:c r="A60" s="15" t="str">
        <x:v>432360</x:v>
      </x:c>
      <x:c r="B60" s="12" t="str">
        <x:v>Psychologists - research and applied (e.g., industrial-organizational, experimental)b</x:v>
      </x:c>
      <x:c r="C60" s="35" t="str">
        <x:v>19-3039.00</x:v>
      </x:c>
      <x:c r="D60" s="12" t="str">
        <x:v>Psychologists, All Other</x:v>
      </x:c>
      <x:c r="E60" s="2" t="str">
        <x:v>Exclude (no Work Values)</x:v>
      </x:c>
      <x:c r="F60" s="2" t="str">
        <x:v>Yes</x:v>
      </x:c>
      <x:c r="G60" s="15" t="str">
        <x:v>0/6</x:v>
      </x:c>
      <x:c r="H60" s="18"/>
      <x:c r="I60" s="18"/>
      <x:c r="J60" s="18"/>
      <x:c r="K60" s="18"/>
      <x:c r="L60" s="18"/>
      <x:c r="M60" s="18"/>
      <x:c r="N60" s="12" t="str">
        <x:v>All psychologists not listed separately.</x:v>
      </x:c>
      <x:c r="O60" s="12" t="str">
        <x:v>https://www.onetonline.org/link/summary/19-3039.00</x:v>
      </x:c>
      <x:c r="P60" s="12" t="str">
        <x:v>Research/applied psychology is separate from health psychology. Only industrial-organizational psychologists have ratings; other psychologists are unrated.</x:v>
      </x:c>
    </x:row>
    <x:row r="61" ht="36" customHeight="1">
      <x:c r="A61" s="15" t="str">
        <x:v>442310</x:v>
      </x:c>
      <x:c r="B61" s="12" t="str">
        <x:v>Anthropologists and archeologists</x:v>
      </x:c>
      <x:c r="C61" s="35" t="str">
        <x:v>19-3091.00</x:v>
      </x:c>
      <x:c r="D61" s="12" t="str">
        <x:v>Anthropologists and Archeologists</x:v>
      </x:c>
      <x:c r="E61" s="2" t="str">
        <x:v>Include</x:v>
      </x:c>
      <x:c r="F61" s="2" t="str">
        <x:v>Yes</x:v>
      </x:c>
      <x:c r="G61" s="15" t="str">
        <x:v>6/6</x:v>
      </x:c>
      <x:c r="H61" s="18" t="n">
        <x:v>5.83</x:v>
      </x:c>
      <x:c r="I61" s="18" t="n">
        <x:v>5.17</x:v>
      </x:c>
      <x:c r="J61" s="18" t="n">
        <x:v>5.17</x:v>
      </x:c>
      <x:c r="K61" s="18" t="n">
        <x:v>4.67</x:v>
      </x:c>
      <x:c r="L61" s="18" t="n">
        <x:v>3</x:v>
      </x:c>
      <x:c r="M61" s="18" t="n">
        <x:v>5.5</x:v>
      </x:c>
      <x:c r="N61" s="12" t="str">
        <x:v>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x:v>
      </x:c>
      <x:c r="O61" s="12" t="str">
        <x:v>https://www.onetonline.org/link/summary/19-3091.00</x:v>
      </x:c>
      <x:c r="P61" s="12" t="str">
        <x:v>Occupation titles and scope align.</x:v>
      </x:c>
    </x:row>
    <x:row r="62" ht="36" customHeight="1">
      <x:c r="A62" s="15" t="str">
        <x:v>442370</x:v>
      </x:c>
      <x:c r="B62" s="12" t="str">
        <x:v>Sociologists</x:v>
      </x:c>
      <x:c r="C62" s="35" t="str">
        <x:v>19-3041.00</x:v>
      </x:c>
      <x:c r="D62" s="12" t="str">
        <x:v>Sociologists</x:v>
      </x:c>
      <x:c r="E62" s="2" t="str">
        <x:v>Include</x:v>
      </x:c>
      <x:c r="F62" s="2" t="str">
        <x:v>Yes</x:v>
      </x:c>
      <x:c r="G62" s="15" t="str">
        <x:v>6/6</x:v>
      </x:c>
      <x:c r="H62" s="18" t="n">
        <x:v>5.67</x:v>
      </x:c>
      <x:c r="I62" s="18" t="n">
        <x:v>5.17</x:v>
      </x:c>
      <x:c r="J62" s="18" t="n">
        <x:v>5.33</x:v>
      </x:c>
      <x:c r="K62" s="18" t="n">
        <x:v>3.33</x:v>
      </x:c>
      <x:c r="L62" s="18" t="n">
        <x:v>2.67</x:v>
      </x:c>
      <x:c r="M62" s="18" t="n">
        <x:v>5.67</x:v>
      </x:c>
      <x:c r="N62" s="12" t="str">
        <x:v>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x:v>
      </x:c>
      <x:c r="O62" s="12" t="str">
        <x:v>https://www.onetonline.org/link/summary/19-3041.00</x:v>
      </x:c>
      <x:c r="P62" s="12" t="str">
        <x:v>Occupation titles and scope align.</x:v>
      </x:c>
    </x:row>
    <x:row r="63" ht="50.25" customHeight="1">
      <x:c r="A63" s="15" t="str">
        <x:v>452380</x:v>
      </x:c>
      <x:c r="B63" s="12" t="str">
        <x:v>Other social scientists</x:v>
      </x:c>
      <x:c r="C63" s="35" t="str">
        <x:v>19-3022.00</x:v>
      </x:c>
      <x:c r="D63" s="12" t="str">
        <x:v>Survey Researchers</x:v>
      </x:c>
      <x:c r="E63" s="2" t="str">
        <x:v>Include</x:v>
      </x:c>
      <x:c r="F63" s="2" t="str">
        <x:v>Yes</x:v>
      </x:c>
      <x:c r="G63" s="15" t="str">
        <x:v>6/6</x:v>
      </x:c>
      <x:c r="H63" s="18" t="n">
        <x:v>4.67</x:v>
      </x:c>
      <x:c r="I63" s="18" t="n">
        <x:v>3.67</x:v>
      </x:c>
      <x:c r="J63" s="18" t="n">
        <x:v>4.67</x:v>
      </x:c>
      <x:c r="K63" s="18" t="n">
        <x:v>4.67</x:v>
      </x:c>
      <x:c r="L63" s="18" t="n">
        <x:v>3.33</x:v>
      </x:c>
      <x:c r="M63" s="18" t="n">
        <x:v>5.33</x:v>
      </x:c>
      <x:c r="N63" s="12" t="str">
        <x:v>Plan, develop, or conduct surveys. May analyze and interpret the meaning of survey data, determine survey objectives, or suggest or test question wording. Includes social scientists who primarily design questionnaires or supervise survey teams.</x:v>
      </x:c>
      <x:c r="O63" s="12" t="str">
        <x:v>https://www.onetonline.org/link/summary/19-3022.00</x:v>
      </x:c>
      <x:c r="P63" s="12" t="str">
        <x:v>Survey research, urban planning, geography and other social sciences; exclude general research assistants.</x:v>
      </x:c>
    </x:row>
    <x:row r="64" ht="50.25" customHeight="1">
      <x:c r="A64" s="15" t="str">
        <x:v>452380</x:v>
      </x:c>
      <x:c r="B64" s="12" t="str">
        <x:v>Other social scientists</x:v>
      </x:c>
      <x:c r="C64" s="35" t="str">
        <x:v>19-3051.00</x:v>
      </x:c>
      <x:c r="D64" s="12" t="str">
        <x:v>Urban and Regional Planners</x:v>
      </x:c>
      <x:c r="E64" s="2" t="str">
        <x:v>Include</x:v>
      </x:c>
      <x:c r="F64" s="2" t="str">
        <x:v>Yes</x:v>
      </x:c>
      <x:c r="G64" s="15" t="str">
        <x:v>6/6</x:v>
      </x:c>
      <x:c r="H64" s="18" t="n">
        <x:v>5</x:v>
      </x:c>
      <x:c r="I64" s="18" t="n">
        <x:v>5</x:v>
      </x:c>
      <x:c r="J64" s="18" t="n">
        <x:v>4.67</x:v>
      </x:c>
      <x:c r="K64" s="18" t="n">
        <x:v>5.33</x:v>
      </x:c>
      <x:c r="L64" s="18" t="n">
        <x:v>3.67</x:v>
      </x:c>
      <x:c r="M64" s="18" t="n">
        <x:v>4.33</x:v>
      </x:c>
      <x:c r="N64" s="12" t="str">
        <x:v>Develop comprehensive plans and programs for use of land and physical facilities of jurisdictions, such as towns, cities, counties, and metropolitan areas.</x:v>
      </x:c>
      <x:c r="O64" s="12" t="str">
        <x:v>https://www.onetonline.org/link/summary/19-3051.00</x:v>
      </x:c>
      <x:c r="P64" s="12" t="str">
        <x:v>Survey research, urban planning, geography and other social sciences; exclude general research assistants.</x:v>
      </x:c>
    </x:row>
    <x:row r="65" ht="50.25" customHeight="1">
      <x:c r="A65" s="15" t="str">
        <x:v>452380</x:v>
      </x:c>
      <x:c r="B65" s="12" t="str">
        <x:v>Other social scientists</x:v>
      </x:c>
      <x:c r="C65" s="35" t="str">
        <x:v>19-3092.00</x:v>
      </x:c>
      <x:c r="D65" s="12" t="str">
        <x:v>Geographers</x:v>
      </x:c>
      <x:c r="E65" s="2" t="str">
        <x:v>Include</x:v>
      </x:c>
      <x:c r="F65" s="2" t="str">
        <x:v>Yes</x:v>
      </x:c>
      <x:c r="G65" s="15" t="str">
        <x:v>6/6</x:v>
      </x:c>
      <x:c r="H65" s="18" t="n">
        <x:v>5.67</x:v>
      </x:c>
      <x:c r="I65" s="18" t="n">
        <x:v>5.5</x:v>
      </x:c>
      <x:c r="J65" s="18" t="n">
        <x:v>4.33</x:v>
      </x:c>
      <x:c r="K65" s="18" t="n">
        <x:v>3</x:v>
      </x:c>
      <x:c r="L65" s="18" t="n">
        <x:v>3.67</x:v>
      </x:c>
      <x:c r="M65" s="18" t="n">
        <x:v>6</x:v>
      </x:c>
      <x:c r="N65" s="12" t="str">
        <x:v>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x:v>
      </x:c>
      <x:c r="O65" s="12" t="str">
        <x:v>https://www.onetonline.org/link/summary/19-3092.00</x:v>
      </x:c>
      <x:c r="P65" s="12" t="str">
        <x:v>Survey research, urban planning, geography and other social sciences; exclude general research assistants.</x:v>
      </x:c>
    </x:row>
    <x:row r="66" ht="50.25" customHeight="1">
      <x:c r="A66" s="15" t="str">
        <x:v>452380</x:v>
      </x:c>
      <x:c r="B66" s="12" t="str">
        <x:v>Other social scientists</x:v>
      </x:c>
      <x:c r="C66" s="35" t="str">
        <x:v>19-3099.00</x:v>
      </x:c>
      <x:c r="D66" s="12" t="str">
        <x:v>Social Scientists and Related Workers, All Other</x:v>
      </x:c>
      <x:c r="E66" s="2" t="str">
        <x:v>Exclude (no Work Values)</x:v>
      </x:c>
      <x:c r="F66" s="2" t="str">
        <x:v>Yes</x:v>
      </x:c>
      <x:c r="G66" s="15" t="str">
        <x:v>0/6</x:v>
      </x:c>
      <x:c r="H66" s="18"/>
      <x:c r="I66" s="18"/>
      <x:c r="J66" s="18"/>
      <x:c r="K66" s="18"/>
      <x:c r="L66" s="18"/>
      <x:c r="M66" s="18"/>
      <x:c r="N66" s="12" t="str">
        <x:v>All social scientists and related workers not listed separately.</x:v>
      </x:c>
      <x:c r="O66" s="12" t="str">
        <x:v>https://www.onetonline.org/link/summary/19-3099.00</x:v>
      </x:c>
      <x:c r="P66" s="12" t="str">
        <x:v>Survey research, urban planning, geography and other social sciences; exclude general research assistants.</x:v>
      </x:c>
    </x:row>
    <x:row r="67" ht="37.5" customHeight="1">
      <x:c r="A67" s="15" t="str">
        <x:v>452380</x:v>
      </x:c>
      <x:c r="B67" s="12" t="str">
        <x:v>Other social scientists</x:v>
      </x:c>
      <x:c r="C67" s="35" t="str">
        <x:v>19-4061.00</x:v>
      </x:c>
      <x:c r="D67" s="12" t="str">
        <x:v>Social Science Research Assistants</x:v>
      </x:c>
      <x:c r="E67" s="2" t="str">
        <x:v>Exclude (outside scope)</x:v>
      </x:c>
      <x:c r="F67" s="2" t="str">
        <x:v>Yes</x:v>
      </x:c>
      <x:c r="G67" s="15" t="str">
        <x:v>6/6</x:v>
      </x:c>
      <x:c r="H67" s="18" t="n">
        <x:v>4</x:v>
      </x:c>
      <x:c r="I67" s="18" t="n">
        <x:v>4</x:v>
      </x:c>
      <x:c r="J67" s="18" t="n">
        <x:v>3</x:v>
      </x:c>
      <x:c r="K67" s="18" t="n">
        <x:v>3.67</x:v>
      </x:c>
      <x:c r="L67" s="18" t="n">
        <x:v>3</x:v>
      </x:c>
      <x:c r="M67" s="18" t="n">
        <x:v>4.67</x:v>
      </x:c>
      <x:c r="N67" s="12" t="str">
        <x:v>Assist social scientists in laboratory, survey, and other social science research. May help prepare findings for publication and assist in laboratory analysis, quality control, or data management.</x:v>
      </x:c>
      <x:c r="O67" s="12" t="str">
        <x:v>https://www.onetonline.org/link/summary/19-4061.00</x:v>
      </x:c>
      <x:c r="P67" s="12" t="str">
        <x:v>Exclude general social-science research assistants from the residual field.</x:v>
      </x:c>
    </x:row>
    <x:row r="68" ht="36" customHeight="1">
      <x:c r="A68" s="15" t="str">
        <x:v>482780</x:v>
      </x:c>
      <x:c r="B68" s="12" t="str">
        <x:v>Postsecondary teachers - Economics</x:v>
      </x:c>
      <x:c r="C68" s="35" t="str">
        <x:v>25-1063.00</x:v>
      </x:c>
      <x:c r="D68" s="12" t="str">
        <x:v>Economics Teachers, Postsecondary</x:v>
      </x:c>
      <x:c r="E68" s="2" t="str">
        <x:v>Include</x:v>
      </x:c>
      <x:c r="F68" s="2" t="str">
        <x:v>Yes</x:v>
      </x:c>
      <x:c r="G68" s="15" t="str">
        <x:v>6/6</x:v>
      </x:c>
      <x:c r="H68" s="18" t="n">
        <x:v>6</x:v>
      </x:c>
      <x:c r="I68" s="18" t="n">
        <x:v>5.17</x:v>
      </x:c>
      <x:c r="J68" s="18" t="n">
        <x:v>5.33</x:v>
      </x:c>
      <x:c r="K68" s="18" t="n">
        <x:v>4</x:v>
      </x:c>
      <x:c r="L68" s="18" t="n">
        <x:v>2.67</x:v>
      </x:c>
      <x:c r="M68" s="18" t="n">
        <x:v>5.67</x:v>
      </x:c>
      <x:c r="N68" s="12" t="str">
        <x:v>Teach courses in economics. Includes both teachers primarily engaged in teaching and those who do a combination of teaching and research.</x:v>
      </x:c>
      <x:c r="O68" s="12" t="str">
        <x:v>https://www.onetonline.org/link/summary/25-1063.00</x:v>
      </x:c>
      <x:c r="P68" s="12" t="str">
        <x:v>Use the subject-specific postsecondary teaching profile.</x:v>
      </x:c>
    </x:row>
    <x:row r="69" ht="36" customHeight="1">
      <x:c r="A69" s="15" t="str">
        <x:v>482900</x:v>
      </x:c>
      <x:c r="B69" s="12" t="str">
        <x:v>Postsecondary teachers - Political science</x:v>
      </x:c>
      <x:c r="C69" s="35" t="str">
        <x:v>25-1065.00</x:v>
      </x:c>
      <x:c r="D69" s="12" t="str">
        <x:v>Political Science Teachers, Postsecondary</x:v>
      </x:c>
      <x:c r="E69" s="2" t="str">
        <x:v>Include</x:v>
      </x:c>
      <x:c r="F69" s="2" t="str">
        <x:v>Yes</x:v>
      </x:c>
      <x:c r="G69" s="15" t="str">
        <x:v>6/6</x:v>
      </x:c>
      <x:c r="H69" s="18" t="n">
        <x:v>5.67</x:v>
      </x:c>
      <x:c r="I69" s="18" t="n">
        <x:v>6</x:v>
      </x:c>
      <x:c r="J69" s="18" t="n">
        <x:v>5.67</x:v>
      </x:c>
      <x:c r="K69" s="18" t="n">
        <x:v>5</x:v>
      </x:c>
      <x:c r="L69" s="18" t="n">
        <x:v>3.67</x:v>
      </x:c>
      <x:c r="M69" s="18" t="n">
        <x:v>5.67</x:v>
      </x:c>
      <x:c r="N69" s="12" t="str">
        <x:v>Teach courses in political science, international affairs, and international relations. Includes both teachers primarily engaged in teaching and those who do a combination of teaching and research.</x:v>
      </x:c>
      <x:c r="O69" s="12" t="str">
        <x:v>https://www.onetonline.org/link/summary/25-1065.00</x:v>
      </x:c>
      <x:c r="P69" s="12" t="str">
        <x:v>Use the subject-specific postsecondary teaching profile.</x:v>
      </x:c>
    </x:row>
    <x:row r="70" ht="36" customHeight="1">
      <x:c r="A70" s="15" t="str">
        <x:v>482910</x:v>
      </x:c>
      <x:c r="B70" s="12" t="str">
        <x:v>Postsecondary teachers - Psychology</x:v>
      </x:c>
      <x:c r="C70" s="35" t="str">
        <x:v>25-1066.00</x:v>
      </x:c>
      <x:c r="D70" s="12" t="str">
        <x:v>Psychology Teachers, Postsecondary</x:v>
      </x:c>
      <x:c r="E70" s="2" t="str">
        <x:v>Include</x:v>
      </x:c>
      <x:c r="F70" s="2" t="str">
        <x:v>Yes</x:v>
      </x:c>
      <x:c r="G70" s="15" t="str">
        <x:v>6/6</x:v>
      </x:c>
      <x:c r="H70" s="18" t="n">
        <x:v>5.67</x:v>
      </x:c>
      <x:c r="I70" s="18" t="n">
        <x:v>5.33</x:v>
      </x:c>
      <x:c r="J70" s="18" t="n">
        <x:v>5.33</x:v>
      </x:c>
      <x:c r="K70" s="18" t="n">
        <x:v>5.33</x:v>
      </x:c>
      <x:c r="L70" s="18" t="n">
        <x:v>3.67</x:v>
      </x:c>
      <x:c r="M70" s="18" t="n">
        <x:v>5.33</x:v>
      </x:c>
      <x:c r="N70" s="12" t="str">
        <x:v>Teach courses in psychology, such as child, clinical, and developmental psychology, and psychological counseling. Includes both teachers primarily engaged in teaching and those who do a combination of teaching and research.</x:v>
      </x:c>
      <x:c r="O70" s="12" t="str">
        <x:v>https://www.onetonline.org/link/summary/25-1066.00</x:v>
      </x:c>
      <x:c r="P70" s="12" t="str">
        <x:v>Use the subject-specific postsecondary teaching profile.</x:v>
      </x:c>
    </x:row>
    <x:row r="71" ht="36" customHeight="1">
      <x:c r="A71" s="15" t="str">
        <x:v>482930</x:v>
      </x:c>
      <x:c r="B71" s="12" t="str">
        <x:v>Postsecondary teachers - Sociology</x:v>
      </x:c>
      <x:c r="C71" s="35" t="str">
        <x:v>25-1067.00</x:v>
      </x:c>
      <x:c r="D71" s="12" t="str">
        <x:v>Sociology Teachers, Postsecondary</x:v>
      </x:c>
      <x:c r="E71" s="2" t="str">
        <x:v>Include</x:v>
      </x:c>
      <x:c r="F71" s="2" t="str">
        <x:v>Yes</x:v>
      </x:c>
      <x:c r="G71" s="15" t="str">
        <x:v>6/6</x:v>
      </x:c>
      <x:c r="H71" s="18" t="n">
        <x:v>5.67</x:v>
      </x:c>
      <x:c r="I71" s="18" t="n">
        <x:v>5.17</x:v>
      </x:c>
      <x:c r="J71" s="18" t="n">
        <x:v>5.33</x:v>
      </x:c>
      <x:c r="K71" s="18" t="n">
        <x:v>5.33</x:v>
      </x:c>
      <x:c r="L71" s="18" t="n">
        <x:v>2.67</x:v>
      </x:c>
      <x:c r="M71" s="18" t="n">
        <x:v>5.67</x:v>
      </x:c>
      <x:c r="N71" s="12" t="str">
        <x:v>Teach courses in sociology. Includes both teachers primarily engaged in teaching and those who do a combination of teaching and research.</x:v>
      </x:c>
      <x:c r="O71" s="12" t="str">
        <x:v>https://www.onetonline.org/link/summary/25-1067.00</x:v>
      </x:c>
      <x:c r="P71" s="12" t="str">
        <x:v>Use the subject-specific postsecondary teaching profile.</x:v>
      </x:c>
    </x:row>
    <x:row r="72" ht="37.5" customHeight="1">
      <x:c r="A72" s="15" t="str">
        <x:v>482980</x:v>
      </x:c>
      <x:c r="B72" s="12" t="str">
        <x:v>Postsecondary teachers - Other social sciences</x:v>
      </x:c>
      <x:c r="C72" s="35" t="str">
        <x:v>25-1061.00</x:v>
      </x:c>
      <x:c r="D72" s="12" t="str">
        <x:v>Anthropology and Archeology Teachers, Postsecondary</x:v>
      </x:c>
      <x:c r="E72" s="2" t="str">
        <x:v>Include</x:v>
      </x:c>
      <x:c r="F72" s="2" t="str">
        <x:v>Yes</x:v>
      </x:c>
      <x:c r="G72" s="15" t="str">
        <x:v>6/6</x:v>
      </x:c>
      <x:c r="H72" s="18" t="n">
        <x:v>6</x:v>
      </x:c>
      <x:c r="I72" s="18" t="n">
        <x:v>6.17</x:v>
      </x:c>
      <x:c r="J72" s="18" t="n">
        <x:v>5.33</x:v>
      </x:c>
      <x:c r="K72" s="18" t="n">
        <x:v>4.33</x:v>
      </x:c>
      <x:c r="L72" s="18" t="n">
        <x:v>3.33</x:v>
      </x:c>
      <x:c r="M72" s="18" t="n">
        <x:v>6.33</x:v>
      </x:c>
      <x:c r="N72" s="12" t="str">
        <x:v>Teach courses in anthropology or archeology. Includes both teachers primarily engaged in teaching and those who do a combination of teaching and research.</x:v>
      </x:c>
      <x:c r="O72" s="12" t="str">
        <x:v>https://www.onetonline.org/link/summary/25-1061.00</x:v>
      </x:c>
      <x:c r="P72" s="12" t="str">
        <x:v>Anthropology/archeology, area/cultural studies, geography and other social-science teachers.</x:v>
      </x:c>
    </x:row>
    <x:row r="73" ht="37.5" customHeight="1">
      <x:c r="A73" s="15" t="str">
        <x:v>482980</x:v>
      </x:c>
      <x:c r="B73" s="12" t="str">
        <x:v>Postsecondary teachers - Other social sciences</x:v>
      </x:c>
      <x:c r="C73" s="35" t="str">
        <x:v>25-1062.00</x:v>
      </x:c>
      <x:c r="D73" s="12" t="str">
        <x:v>Area, Ethnic, and Cultural Studies Teachers, Postsecondary</x:v>
      </x:c>
      <x:c r="E73" s="2" t="str">
        <x:v>Include</x:v>
      </x:c>
      <x:c r="F73" s="2" t="str">
        <x:v>Yes</x:v>
      </x:c>
      <x:c r="G73" s="15" t="str">
        <x:v>6/6</x:v>
      </x:c>
      <x:c r="H73" s="18" t="n">
        <x:v>6</x:v>
      </x:c>
      <x:c r="I73" s="18" t="n">
        <x:v>5.17</x:v>
      </x:c>
      <x:c r="J73" s="18" t="n">
        <x:v>5.33</x:v>
      </x:c>
      <x:c r="K73" s="18" t="n">
        <x:v>5.67</x:v>
      </x:c>
      <x:c r="L73" s="18" t="n">
        <x:v>2.67</x:v>
      </x:c>
      <x:c r="M73" s="18" t="n">
        <x:v>5.67</x:v>
      </x:c>
      <x:c r="N73" s="12" t="str">
        <x:v>Teach courses pertaining to the culture and development of an area, an ethnic group, or any other group, such as Latin American studies, women's studies, or urban affairs. Includes both teachers primarily engaged in teaching and those who do a combination of teaching and research.</x:v>
      </x:c>
      <x:c r="O73" s="12" t="str">
        <x:v>https://www.onetonline.org/link/summary/25-1062.00</x:v>
      </x:c>
      <x:c r="P73" s="12" t="str">
        <x:v>Anthropology/archeology, area/cultural studies, geography and other social-science teachers.</x:v>
      </x:c>
    </x:row>
    <x:row r="74" ht="37.5" customHeight="1">
      <x:c r="A74" s="15" t="str">
        <x:v>482980</x:v>
      </x:c>
      <x:c r="B74" s="12" t="str">
        <x:v>Postsecondary teachers - Other social sciences</x:v>
      </x:c>
      <x:c r="C74" s="35" t="str">
        <x:v>25-1064.00</x:v>
      </x:c>
      <x:c r="D74" s="12" t="str">
        <x:v>Geography Teachers, Postsecondary</x:v>
      </x:c>
      <x:c r="E74" s="2" t="str">
        <x:v>Include</x:v>
      </x:c>
      <x:c r="F74" s="2" t="str">
        <x:v>Yes</x:v>
      </x:c>
      <x:c r="G74" s="15" t="str">
        <x:v>6/6</x:v>
      </x:c>
      <x:c r="H74" s="18" t="n">
        <x:v>5.33</x:v>
      </x:c>
      <x:c r="I74" s="18" t="n">
        <x:v>5.17</x:v>
      </x:c>
      <x:c r="J74" s="18" t="n">
        <x:v>5.33</x:v>
      </x:c>
      <x:c r="K74" s="18" t="n">
        <x:v>5</x:v>
      </x:c>
      <x:c r="L74" s="18" t="n">
        <x:v>2.67</x:v>
      </x:c>
      <x:c r="M74" s="18" t="n">
        <x:v>5.67</x:v>
      </x:c>
      <x:c r="N74" s="12" t="str">
        <x:v>Teach courses in geography. Includes both teachers primarily engaged in teaching and those who do a combination of teaching and research.</x:v>
      </x:c>
      <x:c r="O74" s="12" t="str">
        <x:v>https://www.onetonline.org/link/summary/25-1064.00</x:v>
      </x:c>
      <x:c r="P74" s="12" t="str">
        <x:v>Anthropology/archeology, area/cultural studies, geography and other social-science teachers.</x:v>
      </x:c>
    </x:row>
    <x:row r="75" ht="37.5" customHeight="1">
      <x:c r="A75" s="15" t="str">
        <x:v>482980</x:v>
      </x:c>
      <x:c r="B75" s="12" t="str">
        <x:v>Postsecondary teachers - Other social sciences</x:v>
      </x:c>
      <x:c r="C75" s="35" t="str">
        <x:v>25-1069.00</x:v>
      </x:c>
      <x:c r="D75" s="12" t="str">
        <x:v>Social Sciences Teachers, Postsecondary, All Other</x:v>
      </x:c>
      <x:c r="E75" s="2" t="str">
        <x:v>Exclude (no Work Values)</x:v>
      </x:c>
      <x:c r="F75" s="2" t="str">
        <x:v>Yes</x:v>
      </x:c>
      <x:c r="G75" s="15" t="str">
        <x:v>0/6</x:v>
      </x:c>
      <x:c r="H75" s="18"/>
      <x:c r="I75" s="18"/>
      <x:c r="J75" s="18"/>
      <x:c r="K75" s="18"/>
      <x:c r="L75" s="18"/>
      <x:c r="M75" s="18"/>
      <x:c r="N75" s="12" t="str">
        <x:v>All postsecondary social sciences teachers not listed separately.</x:v>
      </x:c>
      <x:c r="O75" s="12" t="str">
        <x:v>https://www.onetonline.org/link/summary/25-1069.00</x:v>
      </x:c>
      <x:c r="P75" s="12" t="str">
        <x:v>Anthropology/archeology, area/cultural studies, geography and other social-science teachers.</x:v>
      </x:c>
    </x:row>
    <x:row r="76" ht="36" customHeight="1">
      <x:c r="A76" s="15" t="str">
        <x:v>510820</x:v>
      </x:c>
      <x:c r="B76" s="12" t="str">
        <x:v>Aeronautical, aerospace, and astronautical engineers</x:v>
      </x:c>
      <x:c r="C76" s="35" t="str">
        <x:v>17-2011.00</x:v>
      </x:c>
      <x:c r="D76" s="12" t="str">
        <x:v>Aerospace Engineers</x:v>
      </x:c>
      <x:c r="E76" s="2" t="str">
        <x:v>Include</x:v>
      </x:c>
      <x:c r="F76" s="2" t="str">
        <x:v>Yes</x:v>
      </x:c>
      <x:c r="G76" s="15" t="str">
        <x:v>6/6</x:v>
      </x:c>
      <x:c r="H76" s="18" t="n">
        <x:v>5</x:v>
      </x:c>
      <x:c r="I76" s="18" t="n">
        <x:v>5.5</x:v>
      </x:c>
      <x:c r="J76" s="18" t="n">
        <x:v>5.33</x:v>
      </x:c>
      <x:c r="K76" s="18" t="n">
        <x:v>4.33</x:v>
      </x:c>
      <x:c r="L76" s="18" t="n">
        <x:v>5</x:v>
      </x:c>
      <x:c r="M76" s="18" t="n">
        <x:v>5.33</x:v>
      </x:c>
      <x:c r="N76" s="12" t="str">
        <x:v>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x:v>
      </x:c>
      <x:c r="O76" s="12" t="str">
        <x:v>https://www.onetonline.org/link/summary/17-2011.00</x:v>
      </x:c>
      <x:c r="P76" s="12" t="str">
        <x:v>Aerospace Engineers includes aeronautical and astronautical engineering.</x:v>
      </x:c>
    </x:row>
    <x:row r="77" ht="36" customHeight="1">
      <x:c r="A77" s="15" t="str">
        <x:v>520850</x:v>
      </x:c>
      <x:c r="B77" s="12" t="str">
        <x:v>Chemical engineers</x:v>
      </x:c>
      <x:c r="C77" s="35" t="str">
        <x:v>17-2041.00</x:v>
      </x:c>
      <x:c r="D77" s="12" t="str">
        <x:v>Chemical Engineers</x:v>
      </x:c>
      <x:c r="E77" s="2" t="str">
        <x:v>Include</x:v>
      </x:c>
      <x:c r="F77" s="2" t="str">
        <x:v>Yes</x:v>
      </x:c>
      <x:c r="G77" s="15" t="str">
        <x:v>6/6</x:v>
      </x:c>
      <x:c r="H77" s="18" t="n">
        <x:v>5.33</x:v>
      </x:c>
      <x:c r="I77" s="18" t="n">
        <x:v>5.33</x:v>
      </x:c>
      <x:c r="J77" s="18" t="n">
        <x:v>5.67</x:v>
      </x:c>
      <x:c r="K77" s="18" t="n">
        <x:v>4</x:v>
      </x:c>
      <x:c r="L77" s="18" t="n">
        <x:v>4</x:v>
      </x:c>
      <x:c r="M77" s="18" t="n">
        <x:v>5.33</x:v>
      </x:c>
      <x:c r="N77" s="12" t="str">
        <x:v>Design chemical plant equipment and devise processes for manufacturing chemicals and products, such as gasoline, synthetic rubber, plastics, detergents, cement, paper, and pulp, by applying principles and technology of chemistry, physics, and engineering.</x:v>
      </x:c>
      <x:c r="O77" s="12" t="str">
        <x:v>https://www.onetonline.org/link/summary/17-2041.00</x:v>
      </x:c>
      <x:c r="P77" s="12" t="str">
        <x:v>Occupation titles and scope align.</x:v>
      </x:c>
    </x:row>
    <x:row r="78" ht="36" customHeight="1">
      <x:c r="A78" s="15" t="str">
        <x:v>530860</x:v>
      </x:c>
      <x:c r="B78" s="12" t="str">
        <x:v>Civil engineers, including architectural and sanitary</x:v>
      </x:c>
      <x:c r="C78" s="35" t="str">
        <x:v>17-2051.00</x:v>
      </x:c>
      <x:c r="D78" s="12" t="str">
        <x:v>Civil Engineers</x:v>
      </x:c>
      <x:c r="E78" s="2" t="str">
        <x:v>Include</x:v>
      </x:c>
      <x:c r="F78" s="2" t="str">
        <x:v>Yes</x:v>
      </x:c>
      <x:c r="G78" s="15" t="str">
        <x:v>6/6</x:v>
      </x:c>
      <x:c r="H78" s="18" t="n">
        <x:v>5.33</x:v>
      </x:c>
      <x:c r="I78" s="18" t="n">
        <x:v>5.5</x:v>
      </x:c>
      <x:c r="J78" s="18" t="n">
        <x:v>5.33</x:v>
      </x:c>
      <x:c r="K78" s="18" t="n">
        <x:v>4</x:v>
      </x:c>
      <x:c r="L78" s="18" t="n">
        <x:v>4.67</x:v>
      </x:c>
      <x:c r="M78" s="18" t="n">
        <x:v>6</x:v>
      </x:c>
      <x:c r="N78" s="12" t="str">
        <x:v>Perform engineering duties in planning, designing, and overseeing construction and maintenance of building structures and facilities, such as roads, railroads, airports, bridges, harbors, channels, dams, irrigation projects, pipelines, power plants, and water and sewage systems.</x:v>
      </x:c>
      <x:c r="O78" s="12" t="str">
        <x:v>https://www.onetonline.org/link/summary/17-2051.00</x:v>
      </x:c>
      <x:c r="P78" s="12" t="str">
        <x:v>Civil Engineers includes architectural engineering and water/sewer facilities.</x:v>
      </x:c>
    </x:row>
    <x:row r="79" ht="36" customHeight="1">
      <x:c r="A79" s="15" t="str">
        <x:v>540870</x:v>
      </x:c>
      <x:c r="B79" s="12" t="str">
        <x:v>Computer engineers, hardware</x:v>
      </x:c>
      <x:c r="C79" s="35" t="str">
        <x:v>17-2061.00</x:v>
      </x:c>
      <x:c r="D79" s="12" t="str">
        <x:v>Computer Hardware Engineers</x:v>
      </x:c>
      <x:c r="E79" s="2" t="str">
        <x:v>Include</x:v>
      </x:c>
      <x:c r="F79" s="2" t="str">
        <x:v>Yes</x:v>
      </x:c>
      <x:c r="G79" s="15" t="str">
        <x:v>6/6</x:v>
      </x:c>
      <x:c r="H79" s="18" t="n">
        <x:v>5.33</x:v>
      </x:c>
      <x:c r="I79" s="18" t="n">
        <x:v>6</x:v>
      </x:c>
      <x:c r="J79" s="18" t="n">
        <x:v>5</x:v>
      </x:c>
      <x:c r="K79" s="18" t="n">
        <x:v>4</x:v>
      </x:c>
      <x:c r="L79" s="18" t="n">
        <x:v>5</x:v>
      </x:c>
      <x:c r="M79" s="18" t="n">
        <x:v>5</x:v>
      </x:c>
      <x:c r="N79" s="12" t="str">
        <x:v>Research, design, develop, or test computer or computer-related equipment for commercial, industrial, military, or scientific use. May supervise the manufacturing and installation of computer or computer-related equipment and components.</x:v>
      </x:c>
      <x:c r="O79" s="12" t="str">
        <x:v>https://www.onetonline.org/link/summary/17-2061.00</x:v>
      </x:c>
      <x:c r="P79" s="12" t="str">
        <x:v>Both titles specify computer hardware; word order differs.</x:v>
      </x:c>
    </x:row>
    <x:row r="80" ht="36" customHeight="1">
      <x:c r="A80" s="15" t="str">
        <x:v>540890</x:v>
      </x:c>
      <x:c r="B80" s="12" t="str">
        <x:v>Electrical and electronics engineers</x:v>
      </x:c>
      <x:c r="C80" s="35" t="str">
        <x:v>17-2071.00</x:v>
      </x:c>
      <x:c r="D80" s="12" t="str">
        <x:v>Electrical Engineers</x:v>
      </x:c>
      <x:c r="E80" s="2" t="str">
        <x:v>Include</x:v>
      </x:c>
      <x:c r="F80" s="2" t="str">
        <x:v>Yes</x:v>
      </x:c>
      <x:c r="G80" s="15" t="str">
        <x:v>6/6</x:v>
      </x:c>
      <x:c r="H80" s="18" t="n">
        <x:v>5.67</x:v>
      </x:c>
      <x:c r="I80" s="18" t="n">
        <x:v>5.5</x:v>
      </x:c>
      <x:c r="J80" s="18" t="n">
        <x:v>5.33</x:v>
      </x:c>
      <x:c r="K80" s="18" t="n">
        <x:v>4.33</x:v>
      </x:c>
      <x:c r="L80" s="18" t="n">
        <x:v>4.33</x:v>
      </x:c>
      <x:c r="M80" s="18" t="n">
        <x:v>5.33</x:v>
      </x:c>
      <x:c r="N80" s="12" t="str">
        <x:v>Research, design, develop, test, or supervise the manufacturing and installation of electrical equipment, components, or systems for commercial, industrial, military, or scientific use.</x:v>
      </x:c>
      <x:c r="O80" s="12" t="str">
        <x:v>https://www.onetonline.org/link/summary/17-2071.00</x:v>
      </x:c>
      <x:c r="P80" s="12" t="str">
        <x:v>Mean of electrical and electronics engineers; exclude computer hardware engineers.</x:v>
      </x:c>
    </x:row>
    <x:row r="81" ht="36" customHeight="1">
      <x:c r="A81" s="15" t="str">
        <x:v>540890</x:v>
      </x:c>
      <x:c r="B81" s="12" t="str">
        <x:v>Electrical and electronics engineers</x:v>
      </x:c>
      <x:c r="C81" s="35" t="str">
        <x:v>17-2072.00</x:v>
      </x:c>
      <x:c r="D81" s="12" t="str">
        <x:v>Electronics Engineers, Except Computer</x:v>
      </x:c>
      <x:c r="E81" s="2" t="str">
        <x:v>Include</x:v>
      </x:c>
      <x:c r="F81" s="2" t="str">
        <x:v>Yes</x:v>
      </x:c>
      <x:c r="G81" s="15" t="str">
        <x:v>6/6</x:v>
      </x:c>
      <x:c r="H81" s="18" t="n">
        <x:v>5.33</x:v>
      </x:c>
      <x:c r="I81" s="18" t="n">
        <x:v>5.67</x:v>
      </x:c>
      <x:c r="J81" s="18" t="n">
        <x:v>5.67</x:v>
      </x:c>
      <x:c r="K81" s="18" t="n">
        <x:v>3.33</x:v>
      </x:c>
      <x:c r="L81" s="18" t="n">
        <x:v>4.67</x:v>
      </x:c>
      <x:c r="M81" s="18" t="n">
        <x:v>5.33</x:v>
      </x:c>
      <x:c r="N81" s="12" t="str">
        <x:v>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x:v>
      </x:c>
      <x:c r="O81" s="12" t="str">
        <x:v>https://www.onetonline.org/link/summary/17-2072.00</x:v>
      </x:c>
      <x:c r="P81" s="12" t="str">
        <x:v>Mean of electrical and electronics engineers; exclude computer hardware engineers.</x:v>
      </x:c>
    </x:row>
    <x:row r="82" ht="37.5" customHeight="1">
      <x:c r="A82" s="15" t="str">
        <x:v>550910</x:v>
      </x:c>
      <x:c r="B82" s="12" t="str">
        <x:v>Industrial engineers, including health and safety</x:v>
      </x:c>
      <x:c r="C82" s="35" t="str">
        <x:v>17-2111.00</x:v>
      </x:c>
      <x:c r="D82" s="12" t="str">
        <x:v>Health and Safety Engineers, Except Mining Safety Engineers and Inspectors</x:v>
      </x:c>
      <x:c r="E82" s="2" t="str">
        <x:v>Include</x:v>
      </x:c>
      <x:c r="F82" s="2" t="str">
        <x:v>Yes</x:v>
      </x:c>
      <x:c r="G82" s="15" t="str">
        <x:v>6/6</x:v>
      </x:c>
      <x:c r="H82" s="18" t="n">
        <x:v>5</x:v>
      </x:c>
      <x:c r="I82" s="18" t="n">
        <x:v>5.33</x:v>
      </x:c>
      <x:c r="J82" s="18" t="n">
        <x:v>4.67</x:v>
      </x:c>
      <x:c r="K82" s="18" t="n">
        <x:v>4.67</x:v>
      </x:c>
      <x:c r="L82" s="18" t="n">
        <x:v>5.33</x:v>
      </x:c>
      <x:c r="M82" s="18" t="n">
        <x:v>5</x:v>
      </x:c>
      <x:c r="N82" s="12" t="str">
        <x:v>Promote worksite or product safety by applying knowledge of industrial processes, mechanics, chemistry, psychology, and industrial health and safety laws. Includes industrial product safety engineers.</x:v>
      </x:c>
      <x:c r="O82" s="12" t="str">
        <x:v>https://www.onetonline.org/link/summary/17-2111.00</x:v>
      </x:c>
      <x:c r="P82" s="12" t="str">
        <x:v>Mean of industrial and health/safety engineers.</x:v>
      </x:c>
    </x:row>
    <x:row r="83" ht="36" customHeight="1">
      <x:c r="A83" s="15" t="str">
        <x:v>550910</x:v>
      </x:c>
      <x:c r="B83" s="12" t="str">
        <x:v>Industrial engineers, including health and safety</x:v>
      </x:c>
      <x:c r="C83" s="35" t="str">
        <x:v>17-2112.00</x:v>
      </x:c>
      <x:c r="D83" s="12" t="str">
        <x:v>Industrial Engineers</x:v>
      </x:c>
      <x:c r="E83" s="2" t="str">
        <x:v>Include</x:v>
      </x:c>
      <x:c r="F83" s="2" t="str">
        <x:v>Yes</x:v>
      </x:c>
      <x:c r="G83" s="15" t="str">
        <x:v>6/6</x:v>
      </x:c>
      <x:c r="H83" s="18" t="n">
        <x:v>5.33</x:v>
      </x:c>
      <x:c r="I83" s="18" t="n">
        <x:v>5.33</x:v>
      </x:c>
      <x:c r="J83" s="18" t="n">
        <x:v>5.67</x:v>
      </x:c>
      <x:c r="K83" s="18" t="n">
        <x:v>3.67</x:v>
      </x:c>
      <x:c r="L83" s="18" t="n">
        <x:v>5</x:v>
      </x:c>
      <x:c r="M83" s="18" t="n">
        <x:v>5.67</x:v>
      </x:c>
      <x:c r="N83" s="12" t="str">
        <x:v>Design, develop, test, and evaluate integrated systems for managing industrial production processes, including human work factors, quality control, inventory control, logistics and material flow, cost analysis, and production coordination.</x:v>
      </x:c>
      <x:c r="O83" s="12" t="str">
        <x:v>https://www.onetonline.org/link/summary/17-2112.00</x:v>
      </x:c>
      <x:c r="P83" s="12" t="str">
        <x:v>Mean of industrial and health/safety engineers.</x:v>
      </x:c>
    </x:row>
    <x:row r="84" ht="36" customHeight="1">
      <x:c r="A84" s="15" t="str">
        <x:v>560940</x:v>
      </x:c>
      <x:c r="B84" s="12" t="str">
        <x:v>Mechanical engineers</x:v>
      </x:c>
      <x:c r="C84" s="35" t="str">
        <x:v>17-2141.00</x:v>
      </x:c>
      <x:c r="D84" s="12" t="str">
        <x:v>Mechanical Engineers</x:v>
      </x:c>
      <x:c r="E84" s="2" t="str">
        <x:v>Include</x:v>
      </x:c>
      <x:c r="F84" s="2" t="str">
        <x:v>Yes</x:v>
      </x:c>
      <x:c r="G84" s="15" t="str">
        <x:v>6/6</x:v>
      </x:c>
      <x:c r="H84" s="18" t="n">
        <x:v>5.33</x:v>
      </x:c>
      <x:c r="I84" s="18" t="n">
        <x:v>5.17</x:v>
      </x:c>
      <x:c r="J84" s="18" t="n">
        <x:v>5.67</x:v>
      </x:c>
      <x:c r="K84" s="18" t="n">
        <x:v>4.67</x:v>
      </x:c>
      <x:c r="L84" s="18" t="n">
        <x:v>4.67</x:v>
      </x:c>
      <x:c r="M84" s="18" t="n">
        <x:v>5.33</x:v>
      </x:c>
      <x:c r="N84" s="12" t="str">
        <x:v>Perform engineering duties in planning and designing tools, engines, machines, and other mechanically functioning equipment. Oversee installation, operation, maintenance, and repair of equipment such as centralized heat, gas, water, and steam systems.</x:v>
      </x:c>
      <x:c r="O84" s="12" t="str">
        <x:v>https://www.onetonline.org/link/summary/17-2141.00</x:v>
      </x:c>
      <x:c r="P84" s="12" t="str">
        <x:v>Use the rated .00 profile; omit detailed subtypes.</x:v>
      </x:c>
    </x:row>
    <x:row r="85" ht="36" customHeight="1">
      <x:c r="A85" s="15" t="str">
        <x:v>570840</x:v>
      </x:c>
      <x:c r="B85" s="12" t="str">
        <x:v>Bioengineers and biomedical engineers</x:v>
      </x:c>
      <x:c r="C85" s="35" t="str">
        <x:v>17-2031.00</x:v>
      </x:c>
      <x:c r="D85" s="12" t="str">
        <x:v>Bioengineers and Biomedical Engineers</x:v>
      </x:c>
      <x:c r="E85" s="2" t="str">
        <x:v>Include</x:v>
      </x:c>
      <x:c r="F85" s="2" t="str">
        <x:v>Yes</x:v>
      </x:c>
      <x:c r="G85" s="15" t="str">
        <x:v>6/6</x:v>
      </x:c>
      <x:c r="H85" s="18" t="n">
        <x:v>5.33</x:v>
      </x:c>
      <x:c r="I85" s="18" t="n">
        <x:v>5.33</x:v>
      </x:c>
      <x:c r="J85" s="18" t="n">
        <x:v>5</x:v>
      </x:c>
      <x:c r="K85" s="18" t="n">
        <x:v>5</x:v>
      </x:c>
      <x:c r="L85" s="18" t="n">
        <x:v>5</x:v>
      </x:c>
      <x:c r="M85" s="18" t="n">
        <x:v>6</x:v>
      </x:c>
      <x:c r="N85" s="12" t="str">
        <x:v>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x:v>
      </x:c>
      <x:c r="O85" s="12" t="str">
        <x:v>https://www.onetonline.org/link/summary/17-2031.00</x:v>
      </x:c>
      <x:c r="P85" s="12" t="str">
        <x:v>Current .00 titles align; the earlier crosswalk uses Biomedical Engineers.</x:v>
      </x:c>
    </x:row>
    <x:row r="86" ht="36" customHeight="1">
      <x:c r="A86" s="15" t="str">
        <x:v>570900</x:v>
      </x:c>
      <x:c r="B86" s="12" t="str">
        <x:v>Environmental engineers</x:v>
      </x:c>
      <x:c r="C86" s="35" t="str">
        <x:v>17-2081.00</x:v>
      </x:c>
      <x:c r="D86" s="12" t="str">
        <x:v>Environmental Engineers</x:v>
      </x:c>
      <x:c r="E86" s="2" t="str">
        <x:v>Include</x:v>
      </x:c>
      <x:c r="F86" s="2" t="str">
        <x:v>Yes</x:v>
      </x:c>
      <x:c r="G86" s="15" t="str">
        <x:v>6/6</x:v>
      </x:c>
      <x:c r="H86" s="18" t="n">
        <x:v>5.67</x:v>
      </x:c>
      <x:c r="I86" s="18" t="n">
        <x:v>5.67</x:v>
      </x:c>
      <x:c r="J86" s="18" t="n">
        <x:v>5.67</x:v>
      </x:c>
      <x:c r="K86" s="18" t="n">
        <x:v>4.33</x:v>
      </x:c>
      <x:c r="L86" s="18" t="n">
        <x:v>4.33</x:v>
      </x:c>
      <x:c r="M86" s="18" t="n">
        <x:v>5</x:v>
      </x:c>
      <x:c r="N86" s="12" t="str">
        <x:v>Research, design, plan, or perform engineering duties in the prevention, control, and remediation of environmental hazards using various engineering disciplines. Work may include waste treatment, site remediation, or pollution control technology.</x:v>
      </x:c>
      <x:c r="O86" s="12" t="str">
        <x:v>https://www.onetonline.org/link/summary/17-2081.00</x:v>
      </x:c>
      <x:c r="P86" s="12" t="str">
        <x:v>Occupation titles and scope align.</x:v>
      </x:c>
    </x:row>
    <x:row r="87" ht="36" customHeight="1">
      <x:c r="A87" s="15" t="str">
        <x:v>570920</x:v>
      </x:c>
      <x:c r="B87" s="12" t="str">
        <x:v>Marine engineers and naval architects</x:v>
      </x:c>
      <x:c r="C87" s="35" t="str">
        <x:v>17-2121.00</x:v>
      </x:c>
      <x:c r="D87" s="12" t="str">
        <x:v>Marine Engineers and Naval Architects</x:v>
      </x:c>
      <x:c r="E87" s="2" t="str">
        <x:v>Include</x:v>
      </x:c>
      <x:c r="F87" s="2" t="str">
        <x:v>Yes</x:v>
      </x:c>
      <x:c r="G87" s="15" t="str">
        <x:v>6/6</x:v>
      </x:c>
      <x:c r="H87" s="18" t="n">
        <x:v>5.5</x:v>
      </x:c>
      <x:c r="I87" s="18" t="n">
        <x:v>5.17</x:v>
      </x:c>
      <x:c r="J87" s="18" t="n">
        <x:v>5.5</x:v>
      </x:c>
      <x:c r="K87" s="18" t="n">
        <x:v>4.33</x:v>
      </x:c>
      <x:c r="L87" s="18" t="n">
        <x:v>4.83</x:v>
      </x:c>
      <x:c r="M87" s="18" t="n">
        <x:v>5.67</x:v>
      </x:c>
      <x:c r="N87" s="12" t="str">
        <x:v>Design, develop, and evaluate the operation of marine vessels, ship machinery, and related equipment, such as power supply and propulsion systems.</x:v>
      </x:c>
      <x:c r="O87" s="12" t="str">
        <x:v>https://www.onetonline.org/link/summary/17-2121.00</x:v>
      </x:c>
      <x:c r="P87" s="12" t="str">
        <x:v>Occupation titles and scope align.</x:v>
      </x:c>
    </x:row>
    <x:row r="88" ht="36" customHeight="1">
      <x:c r="A88" s="15" t="str">
        <x:v>570930</x:v>
      </x:c>
      <x:c r="B88" s="12" t="str">
        <x:v>Materials engineers</x:v>
      </x:c>
      <x:c r="C88" s="35" t="str">
        <x:v>17-2131.00</x:v>
      </x:c>
      <x:c r="D88" s="12" t="str">
        <x:v>Materials Engineers</x:v>
      </x:c>
      <x:c r="E88" s="2" t="str">
        <x:v>Include</x:v>
      </x:c>
      <x:c r="F88" s="2" t="str">
        <x:v>Yes</x:v>
      </x:c>
      <x:c r="G88" s="15" t="str">
        <x:v>6/6</x:v>
      </x:c>
      <x:c r="H88" s="18" t="n">
        <x:v>5</x:v>
      </x:c>
      <x:c r="I88" s="18" t="n">
        <x:v>5.33</x:v>
      </x:c>
      <x:c r="J88" s="18" t="n">
        <x:v>4.67</x:v>
      </x:c>
      <x:c r="K88" s="18" t="n">
        <x:v>3</x:v>
      </x:c>
      <x:c r="L88" s="18" t="n">
        <x:v>5.67</x:v>
      </x:c>
      <x:c r="M88" s="18" t="n">
        <x:v>5.33</x:v>
      </x:c>
      <x:c r="N88" s="12" t="str">
        <x:v>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x:v>
      </x:c>
      <x:c r="O88" s="12" t="str">
        <x:v>https://www.onetonline.org/link/summary/17-2131.00</x:v>
      </x:c>
      <x:c r="P88" s="12" t="str">
        <x:v>Occupation titles and scope align.</x:v>
      </x:c>
    </x:row>
    <x:row r="89" ht="37.5" customHeight="1">
      <x:c r="A89" s="15" t="str">
        <x:v>570950</x:v>
      </x:c>
      <x:c r="B89" s="12" t="str">
        <x:v>Mining and geological engineers, including mining safety engineers</x:v>
      </x:c>
      <x:c r="C89" s="35" t="str">
        <x:v>17-2151.00</x:v>
      </x:c>
      <x:c r="D89" s="12" t="str">
        <x:v>Mining and Geological Engineers, Including Mining Safety Engineers</x:v>
      </x:c>
      <x:c r="E89" s="2" t="str">
        <x:v>Include</x:v>
      </x:c>
      <x:c r="F89" s="2" t="str">
        <x:v>Yes</x:v>
      </x:c>
      <x:c r="G89" s="15" t="str">
        <x:v>6/6</x:v>
      </x:c>
      <x:c r="H89" s="18" t="n">
        <x:v>5</x:v>
      </x:c>
      <x:c r="I89" s="18" t="n">
        <x:v>5.83</x:v>
      </x:c>
      <x:c r="J89" s="18" t="n">
        <x:v>5</x:v>
      </x:c>
      <x:c r="K89" s="18" t="n">
        <x:v>3.67</x:v>
      </x:c>
      <x:c r="L89" s="18" t="n">
        <x:v>5.67</x:v>
      </x:c>
      <x:c r="M89" s="18" t="n">
        <x:v>5.33</x:v>
      </x:c>
      <x:c r="N89" s="12" t="str">
        <x:v>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x:v>
      </x:c>
      <x:c r="O89" s="12" t="str">
        <x:v>https://www.onetonline.org/link/summary/17-2151.00</x:v>
      </x:c>
      <x:c r="P89" s="12" t="str">
        <x:v>Occupation titles and scope align.</x:v>
      </x:c>
    </x:row>
    <x:row r="90" ht="36" customHeight="1">
      <x:c r="A90" s="15" t="str">
        <x:v>570960</x:v>
      </x:c>
      <x:c r="B90" s="12" t="str">
        <x:v>Nuclear engineers</x:v>
      </x:c>
      <x:c r="C90" s="35" t="str">
        <x:v>17-2161.00</x:v>
      </x:c>
      <x:c r="D90" s="12" t="str">
        <x:v>Nuclear Engineers</x:v>
      </x:c>
      <x:c r="E90" s="2" t="str">
        <x:v>Include</x:v>
      </x:c>
      <x:c r="F90" s="2" t="str">
        <x:v>Yes</x:v>
      </x:c>
      <x:c r="G90" s="15" t="str">
        <x:v>6/6</x:v>
      </x:c>
      <x:c r="H90" s="18" t="n">
        <x:v>5.67</x:v>
      </x:c>
      <x:c r="I90" s="18" t="n">
        <x:v>5.17</x:v>
      </x:c>
      <x:c r="J90" s="18" t="n">
        <x:v>5.67</x:v>
      </x:c>
      <x:c r="K90" s="18" t="n">
        <x:v>2.33</x:v>
      </x:c>
      <x:c r="L90" s="18" t="n">
        <x:v>5.33</x:v>
      </x:c>
      <x:c r="M90" s="18" t="n">
        <x:v>5</x:v>
      </x:c>
      <x:c r="N90" s="12" t="str">
        <x:v>Conduct research on nuclear engineering projects or apply principles and theory of nuclear science to problems concerned with release, control, and use of nuclear energy and nuclear waste disposal.</x:v>
      </x:c>
      <x:c r="O90" s="12" t="str">
        <x:v>https://www.onetonline.org/link/summary/17-2161.00</x:v>
      </x:c>
      <x:c r="P90" s="12" t="str">
        <x:v>Occupation titles and scope align.</x:v>
      </x:c>
    </x:row>
    <x:row r="91" ht="36" customHeight="1">
      <x:c r="A91" s="15" t="str">
        <x:v>570970</x:v>
      </x:c>
      <x:c r="B91" s="12" t="str">
        <x:v>Petroleum engineers</x:v>
      </x:c>
      <x:c r="C91" s="35" t="str">
        <x:v>17-2171.00</x:v>
      </x:c>
      <x:c r="D91" s="12" t="str">
        <x:v>Petroleum Engineers</x:v>
      </x:c>
      <x:c r="E91" s="2" t="str">
        <x:v>Include</x:v>
      </x:c>
      <x:c r="F91" s="2" t="str">
        <x:v>Yes</x:v>
      </x:c>
      <x:c r="G91" s="15" t="str">
        <x:v>6/6</x:v>
      </x:c>
      <x:c r="H91" s="18" t="n">
        <x:v>5.33</x:v>
      </x:c>
      <x:c r="I91" s="18" t="n">
        <x:v>5.67</x:v>
      </x:c>
      <x:c r="J91" s="18" t="n">
        <x:v>5.33</x:v>
      </x:c>
      <x:c r="K91" s="18" t="n">
        <x:v>3.67</x:v>
      </x:c>
      <x:c r="L91" s="18" t="n">
        <x:v>5</x:v>
      </x:c>
      <x:c r="M91" s="18" t="n">
        <x:v>5.67</x:v>
      </x:c>
      <x:c r="N91" s="12" t="str">
        <x:v>Devise methods to improve oil and gas extraction and production and determine the need for new or modified tool designs. Oversee drilling and offer technical advice.</x:v>
      </x:c>
      <x:c r="O91" s="12" t="str">
        <x:v>https://www.onetonline.org/link/summary/17-2171.00</x:v>
      </x:c>
      <x:c r="P91" s="12" t="str">
        <x:v>Occupation titles and scope align.</x:v>
      </x:c>
    </x:row>
    <x:row r="92" ht="36" customHeight="1">
      <x:c r="A92" s="15" t="str">
        <x:v>570980</x:v>
      </x:c>
      <x:c r="B92" s="12" t="str">
        <x:v>Sales engineers</x:v>
      </x:c>
      <x:c r="C92" s="35" t="str">
        <x:v>41-9031.00</x:v>
      </x:c>
      <x:c r="D92" s="12" t="str">
        <x:v>Sales Engineers</x:v>
      </x:c>
      <x:c r="E92" s="2" t="str">
        <x:v>Include</x:v>
      </x:c>
      <x:c r="F92" s="2" t="str">
        <x:v>Yes</x:v>
      </x:c>
      <x:c r="G92" s="15" t="str">
        <x:v>6/6</x:v>
      </x:c>
      <x:c r="H92" s="18" t="n">
        <x:v>5.67</x:v>
      </x:c>
      <x:c r="I92" s="18" t="n">
        <x:v>5.33</x:v>
      </x:c>
      <x:c r="J92" s="18" t="n">
        <x:v>4.67</x:v>
      </x:c>
      <x:c r="K92" s="18" t="n">
        <x:v>5.33</x:v>
      </x:c>
      <x:c r="L92" s="18" t="n">
        <x:v>4.33</x:v>
      </x:c>
      <x:c r="M92" s="18" t="n">
        <x:v>4.67</x:v>
      </x:c>
      <x:c r="N92" s="12" t="str">
        <x:v>Sell business goods or services, the selling of which requires a technical background equivalent to a baccalaureate degree in engineering.</x:v>
      </x:c>
      <x:c r="O92" s="12" t="str">
        <x:v>https://www.onetonline.org/link/summary/41-9031.00</x:v>
      </x:c>
      <x:c r="P92" s="12" t="str">
        <x:v>Require SUPWK=N; exclude 91 respondents who do not meet this condition.</x:v>
      </x:c>
    </x:row>
    <x:row r="93" ht="37.5" customHeight="1">
      <x:c r="A93" s="15" t="str">
        <x:v>570990</x:v>
      </x:c>
      <x:c r="B93" s="12" t="str">
        <x:v>Other engineers, including agriculturalc</x:v>
      </x:c>
      <x:c r="C93" s="35" t="str">
        <x:v>17-2021.00</x:v>
      </x:c>
      <x:c r="D93" s="12" t="str">
        <x:v>Agricultural Engineers</x:v>
      </x:c>
      <x:c r="E93" s="2" t="str">
        <x:v>Include</x:v>
      </x:c>
      <x:c r="F93" s="2" t="str">
        <x:v>Yes</x:v>
      </x:c>
      <x:c r="G93" s="15" t="str">
        <x:v>6/6</x:v>
      </x:c>
      <x:c r="H93" s="18" t="n">
        <x:v>5.33</x:v>
      </x:c>
      <x:c r="I93" s="18" t="n">
        <x:v>5.67</x:v>
      </x:c>
      <x:c r="J93" s="18" t="n">
        <x:v>4.67</x:v>
      </x:c>
      <x:c r="K93" s="18" t="n">
        <x:v>3.33</x:v>
      </x:c>
      <x:c r="L93" s="18" t="n">
        <x:v>3.67</x:v>
      </x:c>
      <x:c r="M93" s="18" t="n">
        <x:v>5.67</x:v>
      </x:c>
      <x:c r="N93" s="12" t="str">
        <x:v>Apply knowledge of engineering technology and biological science to agricultural problems concerned with power and machinery, electrification, structures, soil and water conservation, and processing of agricultural products.</x:v>
      </x:c>
      <x:c r="O93" s="12" t="str">
        <x:v>https://www.onetonline.org/link/summary/17-2021.00</x:v>
      </x:c>
      <x:c r="P93" s="12" t="str">
        <x:v>Agricultural and other engineers; only agricultural engineers have ratings.</x:v>
      </x:c>
    </x:row>
    <x:row r="94" ht="37.5" customHeight="1">
      <x:c r="A94" s="15" t="str">
        <x:v>570990</x:v>
      </x:c>
      <x:c r="B94" s="12" t="str">
        <x:v>Other engineers, including agriculturalc</x:v>
      </x:c>
      <x:c r="C94" s="35" t="str">
        <x:v>17-2199.00</x:v>
      </x:c>
      <x:c r="D94" s="12" t="str">
        <x:v>Engineers, All Other</x:v>
      </x:c>
      <x:c r="E94" s="2" t="str">
        <x:v>Exclude (no Work Values)</x:v>
      </x:c>
      <x:c r="F94" s="2" t="str">
        <x:v>Yes</x:v>
      </x:c>
      <x:c r="G94" s="15" t="str">
        <x:v>0/6</x:v>
      </x:c>
      <x:c r="H94" s="18"/>
      <x:c r="I94" s="18"/>
      <x:c r="J94" s="18"/>
      <x:c r="K94" s="18"/>
      <x:c r="L94" s="18"/>
      <x:c r="M94" s="18"/>
      <x:c r="N94" s="12" t="str">
        <x:v>All engineers not listed separately.</x:v>
      </x:c>
      <x:c r="O94" s="12" t="str">
        <x:v>https://www.onetonline.org/link/summary/17-2199.00</x:v>
      </x:c>
      <x:c r="P94" s="12" t="str">
        <x:v>Agricultural and other engineers; only agricultural engineers have ratings.</x:v>
      </x:c>
    </x:row>
    <x:row r="95" ht="36" customHeight="1">
      <x:c r="A95" s="15" t="str">
        <x:v>582800</x:v>
      </x:c>
      <x:c r="B95" s="12" t="str">
        <x:v>Postsecondary teachers - Engineering</x:v>
      </x:c>
      <x:c r="C95" s="35" t="str">
        <x:v>25-1032.00</x:v>
      </x:c>
      <x:c r="D95" s="12" t="str">
        <x:v>Engineering Teachers, Postsecondary</x:v>
      </x:c>
      <x:c r="E95" s="2" t="str">
        <x:v>Include</x:v>
      </x:c>
      <x:c r="F95" s="2" t="str">
        <x:v>Yes</x:v>
      </x:c>
      <x:c r="G95" s="15" t="str">
        <x:v>6/6</x:v>
      </x:c>
      <x:c r="H95" s="18" t="n">
        <x:v>5.67</x:v>
      </x:c>
      <x:c r="I95" s="18" t="n">
        <x:v>5.17</x:v>
      </x:c>
      <x:c r="J95" s="18" t="n">
        <x:v>5.67</x:v>
      </x:c>
      <x:c r="K95" s="18" t="n">
        <x:v>4.33</x:v>
      </x:c>
      <x:c r="L95" s="18" t="n">
        <x:v>2.33</x:v>
      </x:c>
      <x:c r="M95" s="18" t="n">
        <x:v>5.67</x:v>
      </x:c>
      <x:c r="N95" s="12" t="str">
        <x:v>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x:v>
      </x:c>
      <x:c r="O95" s="12" t="str">
        <x:v>https://www.onetonline.org/link/summary/25-1032.00</x:v>
      </x:c>
      <x:c r="P95" s="12" t="str">
        <x:v>Use the subject-specific postsecondary teaching profile.</x:v>
      </x:c>
    </x:row>
    <x:row r="96" ht="50.25" customHeight="1">
      <x:c r="A96" s="15" t="str">
        <x:v>611110</x:v>
      </x:c>
      <x:c r="B96" s="12" t="str">
        <x:v>Diagnosing/treating practitioners (e.g., dentists, optometrists, physicians, psychiatrists, podiatrists, surgeons, veterinarians) </x:v>
      </x:c>
      <x:c r="C96" s="35" t="str">
        <x:v>29-1011.00</x:v>
      </x:c>
      <x:c r="D96" s="12" t="str">
        <x:v>Chiropractors</x:v>
      </x:c>
      <x:c r="E96" s="2" t="str">
        <x:v>Include</x:v>
      </x:c>
      <x:c r="F96" s="2" t="str">
        <x:v>Yes</x:v>
      </x:c>
      <x:c r="G96" s="15" t="str">
        <x:v>6/6</x:v>
      </x:c>
      <x:c r="H96" s="18" t="n">
        <x:v>5.67</x:v>
      </x:c>
      <x:c r="I96" s="18" t="n">
        <x:v>5.5</x:v>
      </x:c>
      <x:c r="J96" s="18" t="n">
        <x:v>5</x:v>
      </x:c>
      <x:c r="K96" s="18" t="n">
        <x:v>6.33</x:v>
      </x:c>
      <x:c r="L96" s="18" t="n">
        <x:v>4</x:v>
      </x:c>
      <x:c r="M96" s="18" t="n">
        <x:v>6.33</x:v>
      </x:c>
      <x:c r="N96" s="12" t="str">
        <x:v>Assess, treat, and care for patients by manipulation of spine and musculoskeletal system. May provide spinal adjustment or address sacral or pelvic misalignment.</x:v>
      </x:c>
      <x:c r="O96" s="12" t="str">
        <x:v>https://www.onetonline.org/link/summary/29-1011.00</x:v>
      </x:c>
      <x:c r="P96" s="12" t="str">
        <x:v>Diagnosing/treating group excludes separately listed nursing, pharmacy, therapy and dental hygiene; audiologists are assigned here.</x:v>
      </x:c>
    </x:row>
    <x:row r="97" ht="50.25" customHeight="1">
      <x:c r="A97" s="15" t="str">
        <x:v>611110</x:v>
      </x:c>
      <x:c r="B97" s="12" t="str">
        <x:v>Diagnosing/treating practitioners (e.g., dentists, optometrists, physicians, psychiatrists, podiatrists, surgeons, veterinarians) </x:v>
      </x:c>
      <x:c r="C97" s="35" t="str">
        <x:v>29-1021.00</x:v>
      </x:c>
      <x:c r="D97" s="12" t="str">
        <x:v>Dentists, General</x:v>
      </x:c>
      <x:c r="E97" s="2" t="str">
        <x:v>Include</x:v>
      </x:c>
      <x:c r="F97" s="2" t="str">
        <x:v>Yes</x:v>
      </x:c>
      <x:c r="G97" s="15" t="str">
        <x:v>6/6</x:v>
      </x:c>
      <x:c r="H97" s="18" t="n">
        <x:v>6</x:v>
      </x:c>
      <x:c r="I97" s="18" t="n">
        <x:v>5.83</x:v>
      </x:c>
      <x:c r="J97" s="18" t="n">
        <x:v>5.67</x:v>
      </x:c>
      <x:c r="K97" s="18" t="n">
        <x:v>6</x:v>
      </x:c>
      <x:c r="L97" s="18" t="n">
        <x:v>3.33</x:v>
      </x:c>
      <x:c r="M97" s="18" t="n">
        <x:v>6.67</x:v>
      </x:c>
      <x:c r="N97" s="12" t="str">
        <x:v>Examine, diagnose, and treat diseases, injuries, and malformations of teeth and gums. May treat diseases of nerve, pulp, and other dental tissues affecting oral hygiene and retention of teeth. May fit dental appliances or provide preventive care.</x:v>
      </x:c>
      <x:c r="O97" s="12" t="str">
        <x:v>https://www.onetonline.org/link/summary/29-1021.00</x:v>
      </x:c>
      <x:c r="P97" s="12" t="str">
        <x:v>Diagnosing/treating group excludes separately listed nursing, pharmacy, therapy and dental hygiene; audiologists are assigned here.</x:v>
      </x:c>
    </x:row>
    <x:row r="98" ht="50.25" customHeight="1">
      <x:c r="A98" s="15" t="str">
        <x:v>611110</x:v>
      </x:c>
      <x:c r="B98" s="12" t="str">
        <x:v>Diagnosing/treating practitioners (e.g., dentists, optometrists, physicians, psychiatrists, podiatrists, surgeons, veterinarians) </x:v>
      </x:c>
      <x:c r="C98" s="35" t="str">
        <x:v>29-1022.00</x:v>
      </x:c>
      <x:c r="D98" s="12" t="str">
        <x:v>Oral and Maxillofacial Surgeons</x:v>
      </x:c>
      <x:c r="E98" s="2" t="str">
        <x:v>Include</x:v>
      </x:c>
      <x:c r="F98" s="2" t="str">
        <x:v>Yes</x:v>
      </x:c>
      <x:c r="G98" s="15" t="str">
        <x:v>6/6</x:v>
      </x:c>
      <x:c r="H98" s="18" t="n">
        <x:v>6</x:v>
      </x:c>
      <x:c r="I98" s="18" t="n">
        <x:v>6</x:v>
      </x:c>
      <x:c r="J98" s="18" t="n">
        <x:v>6</x:v>
      </x:c>
      <x:c r="K98" s="18" t="n">
        <x:v>6</x:v>
      </x:c>
      <x:c r="L98" s="18" t="n">
        <x:v>4.67</x:v>
      </x:c>
      <x:c r="M98" s="18" t="n">
        <x:v>6.33</x:v>
      </x:c>
      <x:c r="N98" s="12" t="str">
        <x:v>Perform surgery and related procedures on the hard and soft tissues of the oral and maxillofacial regions to treat diseases, injuries, or defects. May diagnose problems of the oral and maxillofacial regions. May perform surgery to improve function or appearance.</x:v>
      </x:c>
      <x:c r="O98" s="12" t="str">
        <x:v>https://www.onetonline.org/link/summary/29-1022.00</x:v>
      </x:c>
      <x:c r="P98" s="12" t="str">
        <x:v>Diagnosing/treating group excludes separately listed nursing, pharmacy, therapy and dental hygiene; audiologists are assigned here.</x:v>
      </x:c>
    </x:row>
    <x:row r="99" ht="50.25" customHeight="1">
      <x:c r="A99" s="15" t="str">
        <x:v>611110</x:v>
      </x:c>
      <x:c r="B99" s="12" t="str">
        <x:v>Diagnosing/treating practitioners (e.g., dentists, optometrists, physicians, psychiatrists, podiatrists, surgeons, veterinarians) </x:v>
      </x:c>
      <x:c r="C99" s="35" t="str">
        <x:v>29-1023.00</x:v>
      </x:c>
      <x:c r="D99" s="12" t="str">
        <x:v>Orthodontists</x:v>
      </x:c>
      <x:c r="E99" s="2" t="str">
        <x:v>Include</x:v>
      </x:c>
      <x:c r="F99" s="2" t="str">
        <x:v>Yes</x:v>
      </x:c>
      <x:c r="G99" s="15" t="str">
        <x:v>6/6</x:v>
      </x:c>
      <x:c r="H99" s="18" t="n">
        <x:v>6</x:v>
      </x:c>
      <x:c r="I99" s="18" t="n">
        <x:v>6</x:v>
      </x:c>
      <x:c r="J99" s="18" t="n">
        <x:v>6</x:v>
      </x:c>
      <x:c r="K99" s="18" t="n">
        <x:v>6</x:v>
      </x:c>
      <x:c r="L99" s="18" t="n">
        <x:v>4</x:v>
      </x:c>
      <x:c r="M99" s="18" t="n">
        <x:v>6.67</x:v>
      </x:c>
      <x:c r="N99" s="12" t="str">
        <x:v>Examine, diagnose, and treat dental malocclusions and oral cavity anomalies. Design and fabricate appliances to realign teeth and jaws to produce and maintain normal function and to improve appearance.</x:v>
      </x:c>
      <x:c r="O99" s="12" t="str">
        <x:v>https://www.onetonline.org/link/summary/29-1023.00</x:v>
      </x:c>
      <x:c r="P99" s="12" t="str">
        <x:v>Diagnosing/treating group excludes separately listed nursing, pharmacy, therapy and dental hygiene; audiologists are assigned here.</x:v>
      </x:c>
    </x:row>
    <x:row r="100" ht="50.25" customHeight="1">
      <x:c r="A100" s="15" t="str">
        <x:v>611110</x:v>
      </x:c>
      <x:c r="B100" s="12" t="str">
        <x:v>Diagnosing/treating practitioners (e.g., dentists, optometrists, physicians, psychiatrists, podiatrists, surgeons, veterinarians) </x:v>
      </x:c>
      <x:c r="C100" s="35" t="str">
        <x:v>29-1024.00</x:v>
      </x:c>
      <x:c r="D100" s="12" t="str">
        <x:v>Prosthodontists</x:v>
      </x:c>
      <x:c r="E100" s="2" t="str">
        <x:v>Include</x:v>
      </x:c>
      <x:c r="F100" s="2" t="str">
        <x:v>Yes</x:v>
      </x:c>
      <x:c r="G100" s="15" t="str">
        <x:v>6/6</x:v>
      </x:c>
      <x:c r="H100" s="18" t="n">
        <x:v>5.67</x:v>
      </x:c>
      <x:c r="I100" s="18" t="n">
        <x:v>5.17</x:v>
      </x:c>
      <x:c r="J100" s="18" t="n">
        <x:v>5.33</x:v>
      </x:c>
      <x:c r="K100" s="18" t="n">
        <x:v>6</x:v>
      </x:c>
      <x:c r="L100" s="18" t="n">
        <x:v>4.67</x:v>
      </x:c>
      <x:c r="M100" s="18" t="n">
        <x:v>6</x:v>
      </x:c>
      <x:c r="N100" s="12" t="str">
        <x:v>Diagnose, treat, rehabilitate, design, and fit prostheses that maintain oral function, health, and appearance for patients with clinical conditions associated with teeth, oral and maxillofacial tissues, or the jaw.</x:v>
      </x:c>
      <x:c r="O100" s="12" t="str">
        <x:v>https://www.onetonline.org/link/summary/29-1024.00</x:v>
      </x:c>
      <x:c r="P100" s="12" t="str">
        <x:v>Diagnosing/treating group excludes separately listed nursing, pharmacy, therapy and dental hygiene; audiologists are assigned here.</x:v>
      </x:c>
    </x:row>
    <x:row r="101" ht="50.25" customHeight="1">
      <x:c r="A101" s="15" t="str">
        <x:v>611110</x:v>
      </x:c>
      <x:c r="B101" s="12" t="str">
        <x:v>Diagnosing/treating practitioners (e.g., dentists, optometrists, physicians, psychiatrists, podiatrists, surgeons, veterinarians) </x:v>
      </x:c>
      <x:c r="C101" s="35" t="str">
        <x:v>29-1029.00</x:v>
      </x:c>
      <x:c r="D101" s="12" t="str">
        <x:v>Dentists, All Other Specialists</x:v>
      </x:c>
      <x:c r="E101" s="2" t="str">
        <x:v>Exclude (no Work Values)</x:v>
      </x:c>
      <x:c r="F101" s="2" t="str">
        <x:v>Yes</x:v>
      </x:c>
      <x:c r="G101" s="15" t="str">
        <x:v>0/6</x:v>
      </x:c>
      <x:c r="H101" s="18"/>
      <x:c r="I101" s="18"/>
      <x:c r="J101" s="18"/>
      <x:c r="K101" s="18"/>
      <x:c r="L101" s="18"/>
      <x:c r="M101" s="18"/>
      <x:c r="N101" s="12" t="str">
        <x:v>All dentists not listed separately.</x:v>
      </x:c>
      <x:c r="O101" s="12" t="str">
        <x:v>https://www.onetonline.org/link/summary/29-1029.00</x:v>
      </x:c>
      <x:c r="P101" s="12" t="str">
        <x:v>Diagnosing/treating group excludes separately listed nursing, pharmacy, therapy and dental hygiene; audiologists are assigned here.</x:v>
      </x:c>
    </x:row>
    <x:row r="102" ht="50.25" customHeight="1">
      <x:c r="A102" s="15" t="str">
        <x:v>611110</x:v>
      </x:c>
      <x:c r="B102" s="12" t="str">
        <x:v>Diagnosing/treating practitioners (e.g., dentists, optometrists, physicians, psychiatrists, podiatrists, surgeons, veterinarians) </x:v>
      </x:c>
      <x:c r="C102" s="35" t="str">
        <x:v>29-1041.00</x:v>
      </x:c>
      <x:c r="D102" s="12" t="str">
        <x:v>Optometrists</x:v>
      </x:c>
      <x:c r="E102" s="2" t="str">
        <x:v>Include</x:v>
      </x:c>
      <x:c r="F102" s="2" t="str">
        <x:v>Yes</x:v>
      </x:c>
      <x:c r="G102" s="15" t="str">
        <x:v>6/6</x:v>
      </x:c>
      <x:c r="H102" s="18" t="n">
        <x:v>6</x:v>
      </x:c>
      <x:c r="I102" s="18" t="n">
        <x:v>6.17</x:v>
      </x:c>
      <x:c r="J102" s="18" t="n">
        <x:v>6</x:v>
      </x:c>
      <x:c r="K102" s="18" t="n">
        <x:v>6</x:v>
      </x:c>
      <x:c r="L102" s="18" t="n">
        <x:v>4.67</x:v>
      </x:c>
      <x:c r="M102" s="18" t="n">
        <x:v>5.67</x:v>
      </x:c>
      <x:c r="N102" s="12" t="str">
        <x:v>Diagnose, manage, and treat conditions and diseases of the human eye and visual system. Examine eyes and visual system, diagnose problems or impairments, prescribe corrective lenses, and provide treatment. May prescribe therapeutic drugs to treat specific eye conditions.</x:v>
      </x:c>
      <x:c r="O102" s="12" t="str">
        <x:v>https://www.onetonline.org/link/summary/29-1041.00</x:v>
      </x:c>
      <x:c r="P102" s="12" t="str">
        <x:v>Diagnosing/treating group excludes separately listed nursing, pharmacy, therapy and dental hygiene; audiologists are assigned here.</x:v>
      </x:c>
    </x:row>
    <x:row r="103" ht="50.25" customHeight="1">
      <x:c r="A103" s="15" t="str">
        <x:v>611110</x:v>
      </x:c>
      <x:c r="B103" s="12" t="str">
        <x:v>Diagnosing/treating practitioners (e.g., dentists, optometrists, physicians, psychiatrists, podiatrists, surgeons, veterinarians) </x:v>
      </x:c>
      <x:c r="C103" s="35" t="str">
        <x:v>29-1081.00</x:v>
      </x:c>
      <x:c r="D103" s="12" t="str">
        <x:v>Podiatrists</x:v>
      </x:c>
      <x:c r="E103" s="2" t="str">
        <x:v>Include</x:v>
      </x:c>
      <x:c r="F103" s="2" t="str">
        <x:v>Yes</x:v>
      </x:c>
      <x:c r="G103" s="15" t="str">
        <x:v>6/6</x:v>
      </x:c>
      <x:c r="H103" s="18" t="n">
        <x:v>6</x:v>
      </x:c>
      <x:c r="I103" s="18" t="n">
        <x:v>5.5</x:v>
      </x:c>
      <x:c r="J103" s="18" t="n">
        <x:v>5.67</x:v>
      </x:c>
      <x:c r="K103" s="18" t="n">
        <x:v>6</x:v>
      </x:c>
      <x:c r="L103" s="18" t="n">
        <x:v>4.67</x:v>
      </x:c>
      <x:c r="M103" s="18" t="n">
        <x:v>6</x:v>
      </x:c>
      <x:c r="N103" s="12" t="str">
        <x:v>Diagnose and treat diseases and deformities of the human foot.</x:v>
      </x:c>
      <x:c r="O103" s="12" t="str">
        <x:v>https://www.onetonline.org/link/summary/29-1081.00</x:v>
      </x:c>
      <x:c r="P103" s="12" t="str">
        <x:v>Diagnosing/treating group excludes separately listed nursing, pharmacy, therapy and dental hygiene; audiologists are assigned here.</x:v>
      </x:c>
    </x:row>
    <x:row r="104" ht="50.25" customHeight="1">
      <x:c r="A104" s="15" t="str">
        <x:v>611110</x:v>
      </x:c>
      <x:c r="B104" s="12" t="str">
        <x:v>Diagnosing/treating practitioners (e.g., dentists, optometrists, physicians, psychiatrists, podiatrists, surgeons, veterinarians) </x:v>
      </x:c>
      <x:c r="C104" s="35" t="str">
        <x:v>29-1131.00</x:v>
      </x:c>
      <x:c r="D104" s="12" t="str">
        <x:v>Veterinarians</x:v>
      </x:c>
      <x:c r="E104" s="2" t="str">
        <x:v>Include</x:v>
      </x:c>
      <x:c r="F104" s="2" t="str">
        <x:v>Yes</x:v>
      </x:c>
      <x:c r="G104" s="15" t="str">
        <x:v>6/6</x:v>
      </x:c>
      <x:c r="H104" s="18" t="n">
        <x:v>7</x:v>
      </x:c>
      <x:c r="I104" s="18" t="n">
        <x:v>5.83</x:v>
      </x:c>
      <x:c r="J104" s="18" t="n">
        <x:v>6</x:v>
      </x:c>
      <x:c r="K104" s="18" t="n">
        <x:v>6</x:v>
      </x:c>
      <x:c r="L104" s="18" t="n">
        <x:v>4.67</x:v>
      </x:c>
      <x:c r="M104" s="18" t="n">
        <x:v>6.33</x:v>
      </x:c>
      <x:c r="N104" s="12" t="str">
        <x:v>Diagnose, treat, or research diseases and injuries of animals. Includes veterinarians who conduct research and development, inspect livestock, or care for pets and companion animals.</x:v>
      </x:c>
      <x:c r="O104" s="12" t="str">
        <x:v>https://www.onetonline.org/link/summary/29-1131.00</x:v>
      </x:c>
      <x:c r="P104" s="12" t="str">
        <x:v>Diagnosing/treating group excludes separately listed nursing, pharmacy, therapy and dental hygiene; audiologists are assigned here.</x:v>
      </x:c>
    </x:row>
    <x:row r="105" ht="50.25" customHeight="1">
      <x:c r="A105" s="15" t="str">
        <x:v>611110</x:v>
      </x:c>
      <x:c r="B105" s="12" t="str">
        <x:v>Diagnosing/treating practitioners (e.g., dentists, optometrists, physicians, psychiatrists, podiatrists, surgeons, veterinarians) </x:v>
      </x:c>
      <x:c r="C105" s="35" t="str">
        <x:v>29-1181.00</x:v>
      </x:c>
      <x:c r="D105" s="12" t="str">
        <x:v>Audiologists</x:v>
      </x:c>
      <x:c r="E105" s="2" t="str">
        <x:v>Include</x:v>
      </x:c>
      <x:c r="F105" s="2" t="str">
        <x:v>Yes</x:v>
      </x:c>
      <x:c r="G105" s="15" t="str">
        <x:v>6/6</x:v>
      </x:c>
      <x:c r="H105" s="18" t="n">
        <x:v>5.67</x:v>
      </x:c>
      <x:c r="I105" s="18" t="n">
        <x:v>5.5</x:v>
      </x:c>
      <x:c r="J105" s="18" t="n">
        <x:v>5</x:v>
      </x:c>
      <x:c r="K105" s="18" t="n">
        <x:v>6.33</x:v>
      </x:c>
      <x:c r="L105" s="18" t="n">
        <x:v>5</x:v>
      </x:c>
      <x:c r="M105" s="18" t="n">
        <x:v>5</x:v>
      </x:c>
      <x:c r="N105" s="12" t="str">
        <x:v>Assess and treat persons with hearing and related disorders. May fit hearing aids and provide auditory training. May perform research related to hearing problems.</x:v>
      </x:c>
      <x:c r="O105" s="12" t="str">
        <x:v>https://www.onetonline.org/link/summary/29-1181.00</x:v>
      </x:c>
      <x:c r="P105" s="12" t="str">
        <x:v>Diagnosing/treating group excludes separately listed nursing, pharmacy, therapy and dental hygiene; audiologists are assigned here.</x:v>
      </x:c>
    </x:row>
    <x:row r="106" ht="50.25" customHeight="1">
      <x:c r="A106" s="15" t="str">
        <x:v>611110</x:v>
      </x:c>
      <x:c r="B106" s="12" t="str">
        <x:v>Diagnosing/treating practitioners (e.g., dentists, optometrists, physicians, psychiatrists, podiatrists, surgeons, veterinarians) </x:v>
      </x:c>
      <x:c r="C106" s="35" t="str">
        <x:v>29-1211.00</x:v>
      </x:c>
      <x:c r="D106" s="12" t="str">
        <x:v>Anesthesiologists</x:v>
      </x:c>
      <x:c r="E106" s="2" t="str">
        <x:v>Include</x:v>
      </x:c>
      <x:c r="F106" s="2" t="str">
        <x:v>Yes</x:v>
      </x:c>
      <x:c r="G106" s="15" t="str">
        <x:v>6/6</x:v>
      </x:c>
      <x:c r="H106" s="18" t="n">
        <x:v>6</x:v>
      </x:c>
      <x:c r="I106" s="18" t="n">
        <x:v>5.5</x:v>
      </x:c>
      <x:c r="J106" s="18" t="n">
        <x:v>5.67</x:v>
      </x:c>
      <x:c r="K106" s="18" t="n">
        <x:v>6</x:v>
      </x:c>
      <x:c r="L106" s="18" t="n">
        <x:v>5.67</x:v>
      </x:c>
      <x:c r="M106" s="18" t="n">
        <x:v>6</x:v>
      </x:c>
      <x:c r="N106" s="12" t="str">
        <x:v>Administer anesthetics and analgesics for pain management prior to, during, or after surgery.</x:v>
      </x:c>
      <x:c r="O106" s="12" t="str">
        <x:v>https://www.onetonline.org/link/summary/29-1211.00</x:v>
      </x:c>
      <x:c r="P106" s="12" t="str">
        <x:v>Diagnosing/treating group excludes separately listed nursing, pharmacy, therapy and dental hygiene; audiologists are assigned here.</x:v>
      </x:c>
    </x:row>
    <x:row r="107" ht="50.25" customHeight="1">
      <x:c r="A107" s="15" t="str">
        <x:v>611110</x:v>
      </x:c>
      <x:c r="B107" s="12" t="str">
        <x:v>Diagnosing/treating practitioners (e.g., dentists, optometrists, physicians, psychiatrists, podiatrists, surgeons, veterinarians) </x:v>
      </x:c>
      <x:c r="C107" s="35" t="str">
        <x:v>29-1212.00</x:v>
      </x:c>
      <x:c r="D107" s="12" t="str">
        <x:v>Cardiologists</x:v>
      </x:c>
      <x:c r="E107" s="2" t="str">
        <x:v>Exclude (no Work Values)</x:v>
      </x:c>
      <x:c r="F107" s="2" t="str">
        <x:v>Yes</x:v>
      </x:c>
      <x:c r="G107" s="15" t="str">
        <x:v>0/6</x:v>
      </x:c>
      <x:c r="H107" s="18"/>
      <x:c r="I107" s="18"/>
      <x:c r="J107" s="18"/>
      <x:c r="K107" s="18"/>
      <x:c r="L107" s="18"/>
      <x:c r="M107" s="18"/>
      <x:c r="N107" s="12" t="str">
        <x:v>Diagnose, treat, manage, and prevent diseases or conditions of the cardiovascular system. May further subspecialize in interventional procedures (e.g., balloon angioplasty and stent placement), echocardiography, or electrophysiology.</x:v>
      </x:c>
      <x:c r="O107" s="12" t="str">
        <x:v>https://www.onetonline.org/link/summary/29-1212.00</x:v>
      </x:c>
      <x:c r="P107" s="12" t="str">
        <x:v>Diagnosing/treating group excludes separately listed nursing, pharmacy, therapy and dental hygiene; audiologists are assigned here.</x:v>
      </x:c>
    </x:row>
    <x:row r="108" ht="50.25" customHeight="1">
      <x:c r="A108" s="15" t="str">
        <x:v>611110</x:v>
      </x:c>
      <x:c r="B108" s="12" t="str">
        <x:v>Diagnosing/treating practitioners (e.g., dentists, optometrists, physicians, psychiatrists, podiatrists, surgeons, veterinarians) </x:v>
      </x:c>
      <x:c r="C108" s="35" t="str">
        <x:v>29-1213.00</x:v>
      </x:c>
      <x:c r="D108" s="12" t="str">
        <x:v>Dermatologists</x:v>
      </x:c>
      <x:c r="E108" s="2" t="str">
        <x:v>Include</x:v>
      </x:c>
      <x:c r="F108" s="2" t="str">
        <x:v>Yes</x:v>
      </x:c>
      <x:c r="G108" s="15" t="str">
        <x:v>6/6</x:v>
      </x:c>
      <x:c r="H108" s="18" t="n">
        <x:v>6</x:v>
      </x:c>
      <x:c r="I108" s="18" t="n">
        <x:v>5.67</x:v>
      </x:c>
      <x:c r="J108" s="18" t="n">
        <x:v>5.67</x:v>
      </x:c>
      <x:c r="K108" s="18" t="n">
        <x:v>5.67</x:v>
      </x:c>
      <x:c r="L108" s="18" t="n">
        <x:v>5</x:v>
      </x:c>
      <x:c r="M108" s="18" t="n">
        <x:v>5.67</x:v>
      </x:c>
      <x:c r="N108" s="12" t="str">
        <x:v>Diagnose and treat diseases relating to the skin, hair, and nails. May perform both medical and dermatological surgery functions.</x:v>
      </x:c>
      <x:c r="O108" s="12" t="str">
        <x:v>https://www.onetonline.org/link/summary/29-1213.00</x:v>
      </x:c>
      <x:c r="P108" s="12" t="str">
        <x:v>Diagnosing/treating group excludes separately listed nursing, pharmacy, therapy and dental hygiene; audiologists are assigned here.</x:v>
      </x:c>
    </x:row>
    <x:row r="109" ht="50.25" customHeight="1">
      <x:c r="A109" s="15" t="str">
        <x:v>611110</x:v>
      </x:c>
      <x:c r="B109" s="12" t="str">
        <x:v>Diagnosing/treating practitioners (e.g., dentists, optometrists, physicians, psychiatrists, podiatrists, surgeons, veterinarians) </x:v>
      </x:c>
      <x:c r="C109" s="35" t="str">
        <x:v>29-1214.00</x:v>
      </x:c>
      <x:c r="D109" s="12" t="str">
        <x:v>Emergency Medicine Physicians</x:v>
      </x:c>
      <x:c r="E109" s="2" t="str">
        <x:v>Exclude (no Work Values)</x:v>
      </x:c>
      <x:c r="F109" s="2" t="str">
        <x:v>Yes</x:v>
      </x:c>
      <x:c r="G109" s="15" t="str">
        <x:v>0/6</x:v>
      </x:c>
      <x:c r="H109" s="18"/>
      <x:c r="I109" s="18"/>
      <x:c r="J109" s="18"/>
      <x:c r="K109" s="18"/>
      <x:c r="L109" s="18"/>
      <x:c r="M109" s="18"/>
      <x:c r="N109" s="12" t="str">
        <x:v>Make immediate medical decisions and act to prevent death or further disability. Provide immediate recognition, evaluation, care, stabilization, and disposition of patients. May direct emergency medical staff in an emergency department.</x:v>
      </x:c>
      <x:c r="O109" s="12" t="str">
        <x:v>https://www.onetonline.org/link/summary/29-1214.00</x:v>
      </x:c>
      <x:c r="P109" s="12" t="str">
        <x:v>Diagnosing/treating group excludes separately listed nursing, pharmacy, therapy and dental hygiene; audiologists are assigned here.</x:v>
      </x:c>
    </x:row>
    <x:row r="110" ht="50.25" customHeight="1">
      <x:c r="A110" s="15" t="str">
        <x:v>611110</x:v>
      </x:c>
      <x:c r="B110" s="12" t="str">
        <x:v>Diagnosing/treating practitioners (e.g., dentists, optometrists, physicians, psychiatrists, podiatrists, surgeons, veterinarians) </x:v>
      </x:c>
      <x:c r="C110" s="35" t="str">
        <x:v>29-1215.00</x:v>
      </x:c>
      <x:c r="D110" s="12" t="str">
        <x:v>Family Medicine Physicians</x:v>
      </x:c>
      <x:c r="E110" s="2" t="str">
        <x:v>Include</x:v>
      </x:c>
      <x:c r="F110" s="2" t="str">
        <x:v>Yes</x:v>
      </x:c>
      <x:c r="G110" s="15" t="str">
        <x:v>6/6</x:v>
      </x:c>
      <x:c r="H110" s="18" t="n">
        <x:v>6.33</x:v>
      </x:c>
      <x:c r="I110" s="18" t="n">
        <x:v>6</x:v>
      </x:c>
      <x:c r="J110" s="18" t="n">
        <x:v>6.33</x:v>
      </x:c>
      <x:c r="K110" s="18" t="n">
        <x:v>6.67</x:v>
      </x:c>
      <x:c r="L110" s="18" t="n">
        <x:v>5</x:v>
      </x:c>
      <x:c r="M110" s="18" t="n">
        <x:v>6.33</x:v>
      </x:c>
      <x:c r="N110" s="12" t="str">
        <x:v>Diagnose, treat, and provide preventive care to individuals and families across the lifespan. May refer patients to specialists when needed for further diagnosis or treatment.</x:v>
      </x:c>
      <x:c r="O110" s="12" t="str">
        <x:v>https://www.onetonline.org/link/summary/29-1215.00</x:v>
      </x:c>
      <x:c r="P110" s="12" t="str">
        <x:v>Diagnosing/treating group excludes separately listed nursing, pharmacy, therapy and dental hygiene; audiologists are assigned here.</x:v>
      </x:c>
    </x:row>
    <x:row r="111" ht="50.25" customHeight="1">
      <x:c r="A111" s="15" t="str">
        <x:v>611110</x:v>
      </x:c>
      <x:c r="B111" s="12" t="str">
        <x:v>Diagnosing/treating practitioners (e.g., dentists, optometrists, physicians, psychiatrists, podiatrists, surgeons, veterinarians) </x:v>
      </x:c>
      <x:c r="C111" s="35" t="str">
        <x:v>29-1216.00</x:v>
      </x:c>
      <x:c r="D111" s="12" t="str">
        <x:v>General Internal Medicine Physicians</x:v>
      </x:c>
      <x:c r="E111" s="2" t="str">
        <x:v>Include</x:v>
      </x:c>
      <x:c r="F111" s="2" t="str">
        <x:v>Yes</x:v>
      </x:c>
      <x:c r="G111" s="15" t="str">
        <x:v>6/6</x:v>
      </x:c>
      <x:c r="H111" s="18" t="n">
        <x:v>6.33</x:v>
      </x:c>
      <x:c r="I111" s="18" t="n">
        <x:v>6</x:v>
      </x:c>
      <x:c r="J111" s="18" t="n">
        <x:v>6.33</x:v>
      </x:c>
      <x:c r="K111" s="18" t="n">
        <x:v>6.33</x:v>
      </x:c>
      <x:c r="L111" s="18" t="n">
        <x:v>5.33</x:v>
      </x:c>
      <x:c r="M111" s="18" t="n">
        <x:v>6.33</x:v>
      </x:c>
      <x:c r="N111" s="12" t="str">
        <x:v>Diagnose and provide nonsurgical treatment for a wide range of diseases and injuries of internal organ systems. Provide care mainly for adults and adolescents, and are based primarily in an outpatient care setting.</x:v>
      </x:c>
      <x:c r="O111" s="12" t="str">
        <x:v>https://www.onetonline.org/link/summary/29-1216.00</x:v>
      </x:c>
      <x:c r="P111" s="12" t="str">
        <x:v>Diagnosing/treating group excludes separately listed nursing, pharmacy, therapy and dental hygiene; audiologists are assigned here.</x:v>
      </x:c>
    </x:row>
    <x:row r="112" ht="50.25" customHeight="1">
      <x:c r="A112" s="15" t="str">
        <x:v>611110</x:v>
      </x:c>
      <x:c r="B112" s="12" t="str">
        <x:v>Diagnosing/treating practitioners (e.g., dentists, optometrists, physicians, psychiatrists, podiatrists, surgeons, veterinarians) </x:v>
      </x:c>
      <x:c r="C112" s="35" t="str">
        <x:v>29-1217.00</x:v>
      </x:c>
      <x:c r="D112" s="12" t="str">
        <x:v>Neurologists</x:v>
      </x:c>
      <x:c r="E112" s="2" t="str">
        <x:v>Include</x:v>
      </x:c>
      <x:c r="F112" s="2" t="str">
        <x:v>Yes</x:v>
      </x:c>
      <x:c r="G112" s="15" t="str">
        <x:v>6/6</x:v>
      </x:c>
      <x:c r="H112" s="18" t="n">
        <x:v>6.33</x:v>
      </x:c>
      <x:c r="I112" s="18" t="n">
        <x:v>6</x:v>
      </x:c>
      <x:c r="J112" s="18" t="n">
        <x:v>6.33</x:v>
      </x:c>
      <x:c r="K112" s="18" t="n">
        <x:v>5.33</x:v>
      </x:c>
      <x:c r="L112" s="18" t="n">
        <x:v>5.33</x:v>
      </x:c>
      <x:c r="M112" s="18" t="n">
        <x:v>5.67</x:v>
      </x:c>
      <x:c r="N112" s="12" t="str">
        <x:v>Diagnose, manage, and treat disorders and diseases of the brain, spinal cord, and peripheral nerves, with a primarily nonsurgical focus.</x:v>
      </x:c>
      <x:c r="O112" s="12" t="str">
        <x:v>https://www.onetonline.org/link/summary/29-1217.00</x:v>
      </x:c>
      <x:c r="P112" s="12" t="str">
        <x:v>Diagnosing/treating group excludes separately listed nursing, pharmacy, therapy and dental hygiene; audiologists are assigned here.</x:v>
      </x:c>
    </x:row>
    <x:row r="113" ht="50.25" customHeight="1">
      <x:c r="A113" s="15" t="str">
        <x:v>611110</x:v>
      </x:c>
      <x:c r="B113" s="12" t="str">
        <x:v>Diagnosing/treating practitioners (e.g., dentists, optometrists, physicians, psychiatrists, podiatrists, surgeons, veterinarians) </x:v>
      </x:c>
      <x:c r="C113" s="35" t="str">
        <x:v>29-1218.00</x:v>
      </x:c>
      <x:c r="D113" s="12" t="str">
        <x:v>Obstetricians and Gynecologists</x:v>
      </x:c>
      <x:c r="E113" s="2" t="str">
        <x:v>Include</x:v>
      </x:c>
      <x:c r="F113" s="2" t="str">
        <x:v>Yes</x:v>
      </x:c>
      <x:c r="G113" s="15" t="str">
        <x:v>6/6</x:v>
      </x:c>
      <x:c r="H113" s="18" t="n">
        <x:v>6.33</x:v>
      </x:c>
      <x:c r="I113" s="18" t="n">
        <x:v>6</x:v>
      </x:c>
      <x:c r="J113" s="18" t="n">
        <x:v>6.33</x:v>
      </x:c>
      <x:c r="K113" s="18" t="n">
        <x:v>5.67</x:v>
      </x:c>
      <x:c r="L113" s="18" t="n">
        <x:v>4.67</x:v>
      </x:c>
      <x:c r="M113" s="18" t="n">
        <x:v>6.33</x:v>
      </x:c>
      <x:c r="N113" s="12" t="str">
        <x:v>Provide medical care related to pregnancy or childbirth. Diagnose, treat, and help prevent diseases of women, particularly those affecting the reproductive system. May also provide general care to women. May perform both medical and gynecological surgery functions.</x:v>
      </x:c>
      <x:c r="O113" s="12" t="str">
        <x:v>https://www.onetonline.org/link/summary/29-1218.00</x:v>
      </x:c>
      <x:c r="P113" s="12" t="str">
        <x:v>Diagnosing/treating group excludes separately listed nursing, pharmacy, therapy and dental hygiene; audiologists are assigned here.</x:v>
      </x:c>
    </x:row>
    <x:row r="114" ht="50.25" customHeight="1">
      <x:c r="A114" s="15" t="str">
        <x:v>611110</x:v>
      </x:c>
      <x:c r="B114" s="12" t="str">
        <x:v>Diagnosing/treating practitioners (e.g., dentists, optometrists, physicians, psychiatrists, podiatrists, surgeons, veterinarians) </x:v>
      </x:c>
      <x:c r="C114" s="35" t="str">
        <x:v>29-1221.00</x:v>
      </x:c>
      <x:c r="D114" s="12" t="str">
        <x:v>Pediatricians, General</x:v>
      </x:c>
      <x:c r="E114" s="2" t="str">
        <x:v>Include</x:v>
      </x:c>
      <x:c r="F114" s="2" t="str">
        <x:v>Yes</x:v>
      </x:c>
      <x:c r="G114" s="15" t="str">
        <x:v>6/6</x:v>
      </x:c>
      <x:c r="H114" s="18" t="n">
        <x:v>6.67</x:v>
      </x:c>
      <x:c r="I114" s="18" t="n">
        <x:v>6</x:v>
      </x:c>
      <x:c r="J114" s="18" t="n">
        <x:v>6.67</x:v>
      </x:c>
      <x:c r="K114" s="18" t="n">
        <x:v>6.67</x:v>
      </x:c>
      <x:c r="L114" s="18" t="n">
        <x:v>4.67</x:v>
      </x:c>
      <x:c r="M114" s="18" t="n">
        <x:v>6.33</x:v>
      </x:c>
      <x:c r="N114" s="12" t="str">
        <x:v>Diagnose, treat, and help prevent diseases and injuries in children. May refer patients to specialists for further diagnosis or treatment, as needed.</x:v>
      </x:c>
      <x:c r="O114" s="12" t="str">
        <x:v>https://www.onetonline.org/link/summary/29-1221.00</x:v>
      </x:c>
      <x:c r="P114" s="12" t="str">
        <x:v>Diagnosing/treating group excludes separately listed nursing, pharmacy, therapy and dental hygiene; audiologists are assigned here.</x:v>
      </x:c>
    </x:row>
    <x:row r="115" ht="50.25" customHeight="1">
      <x:c r="A115" s="15" t="str">
        <x:v>611110</x:v>
      </x:c>
      <x:c r="B115" s="12" t="str">
        <x:v>Diagnosing/treating practitioners (e.g., dentists, optometrists, physicians, psychiatrists, podiatrists, surgeons, veterinarians) </x:v>
      </x:c>
      <x:c r="C115" s="35" t="str">
        <x:v>29-1222.00</x:v>
      </x:c>
      <x:c r="D115" s="12" t="str">
        <x:v>Physicians, Pathologists</x:v>
      </x:c>
      <x:c r="E115" s="2" t="str">
        <x:v>Include</x:v>
      </x:c>
      <x:c r="F115" s="2" t="str">
        <x:v>Yes</x:v>
      </x:c>
      <x:c r="G115" s="15" t="str">
        <x:v>6/6</x:v>
      </x:c>
      <x:c r="H115" s="18" t="n">
        <x:v>5.67</x:v>
      </x:c>
      <x:c r="I115" s="18" t="n">
        <x:v>4.83</x:v>
      </x:c>
      <x:c r="J115" s="18" t="n">
        <x:v>5.33</x:v>
      </x:c>
      <x:c r="K115" s="18" t="n">
        <x:v>4.33</x:v>
      </x:c>
      <x:c r="L115" s="18" t="n">
        <x:v>4.67</x:v>
      </x:c>
      <x:c r="M115" s="18" t="n">
        <x:v>5.67</x:v>
      </x:c>
      <x:c r="N115" s="12" t="str">
        <x:v>Diagnose diseases and conduct lab tests using organs, body tissues, and fluids. Includes medical examiners.</x:v>
      </x:c>
      <x:c r="O115" s="12" t="str">
        <x:v>https://www.onetonline.org/link/summary/29-1222.00</x:v>
      </x:c>
      <x:c r="P115" s="12" t="str">
        <x:v>Diagnosing/treating group excludes separately listed nursing, pharmacy, therapy and dental hygiene; audiologists are assigned here.</x:v>
      </x:c>
    </x:row>
    <x:row r="116" ht="50.25" customHeight="1">
      <x:c r="A116" s="15" t="str">
        <x:v>611110</x:v>
      </x:c>
      <x:c r="B116" s="12" t="str">
        <x:v>Diagnosing/treating practitioners (e.g., dentists, optometrists, physicians, psychiatrists, podiatrists, surgeons, veterinarians) </x:v>
      </x:c>
      <x:c r="C116" s="35" t="str">
        <x:v>29-1223.00</x:v>
      </x:c>
      <x:c r="D116" s="12" t="str">
        <x:v>Psychiatrists</x:v>
      </x:c>
      <x:c r="E116" s="2" t="str">
        <x:v>Include</x:v>
      </x:c>
      <x:c r="F116" s="2" t="str">
        <x:v>Yes</x:v>
      </x:c>
      <x:c r="G116" s="15" t="str">
        <x:v>6/6</x:v>
      </x:c>
      <x:c r="H116" s="18" t="n">
        <x:v>6.33</x:v>
      </x:c>
      <x:c r="I116" s="18" t="n">
        <x:v>6.17</x:v>
      </x:c>
      <x:c r="J116" s="18" t="n">
        <x:v>6.33</x:v>
      </x:c>
      <x:c r="K116" s="18" t="n">
        <x:v>6.33</x:v>
      </x:c>
      <x:c r="L116" s="18" t="n">
        <x:v>4.33</x:v>
      </x:c>
      <x:c r="M116" s="18" t="n">
        <x:v>6.33</x:v>
      </x:c>
      <x:c r="N116" s="12" t="str">
        <x:v>Diagnose, treat, and help prevent mental disorders.</x:v>
      </x:c>
      <x:c r="O116" s="12" t="str">
        <x:v>https://www.onetonline.org/link/summary/29-1223.00</x:v>
      </x:c>
      <x:c r="P116" s="12" t="str">
        <x:v>Diagnosing/treating group excludes separately listed nursing, pharmacy, therapy and dental hygiene; audiologists are assigned here.</x:v>
      </x:c>
    </x:row>
    <x:row r="117" ht="50.25" customHeight="1">
      <x:c r="A117" s="15" t="str">
        <x:v>611110</x:v>
      </x:c>
      <x:c r="B117" s="12" t="str">
        <x:v>Diagnosing/treating practitioners (e.g., dentists, optometrists, physicians, psychiatrists, podiatrists, surgeons, veterinarians) </x:v>
      </x:c>
      <x:c r="C117" s="35" t="str">
        <x:v>29-1224.00</x:v>
      </x:c>
      <x:c r="D117" s="12" t="str">
        <x:v>Radiologists</x:v>
      </x:c>
      <x:c r="E117" s="2" t="str">
        <x:v>Include</x:v>
      </x:c>
      <x:c r="F117" s="2" t="str">
        <x:v>Yes</x:v>
      </x:c>
      <x:c r="G117" s="15" t="str">
        <x:v>6/6</x:v>
      </x:c>
      <x:c r="H117" s="18" t="n">
        <x:v>5.67</x:v>
      </x:c>
      <x:c r="I117" s="18" t="n">
        <x:v>5</x:v>
      </x:c>
      <x:c r="J117" s="18" t="n">
        <x:v>5.33</x:v>
      </x:c>
      <x:c r="K117" s="18" t="n">
        <x:v>5</x:v>
      </x:c>
      <x:c r="L117" s="18" t="n">
        <x:v>5.33</x:v>
      </x:c>
      <x:c r="M117" s="18" t="n">
        <x:v>5.33</x:v>
      </x:c>
      <x:c r="N117" s="12" t="str">
        <x:v>Diagnose and treat diseases and injuries using medical imaging techniques, such as x rays, magnetic resonance imaging (MRI), nuclear medicine, and ultrasounds. May perform minimally invasive medical procedures and tests.</x:v>
      </x:c>
      <x:c r="O117" s="12" t="str">
        <x:v>https://www.onetonline.org/link/summary/29-1224.00</x:v>
      </x:c>
      <x:c r="P117" s="12" t="str">
        <x:v>Diagnosing/treating group excludes separately listed nursing, pharmacy, therapy and dental hygiene; audiologists are assigned here.</x:v>
      </x:c>
    </x:row>
    <x:row r="118" ht="50.25" customHeight="1">
      <x:c r="A118" s="15" t="str">
        <x:v>611110</x:v>
      </x:c>
      <x:c r="B118" s="12" t="str">
        <x:v>Diagnosing/treating practitioners (e.g., dentists, optometrists, physicians, psychiatrists, podiatrists, surgeons, veterinarians) </x:v>
      </x:c>
      <x:c r="C118" s="35" t="str">
        <x:v>29-1229.00</x:v>
      </x:c>
      <x:c r="D118" s="12" t="str">
        <x:v>Physicians, All Other</x:v>
      </x:c>
      <x:c r="E118" s="2" t="str">
        <x:v>Exclude (no Work Values)</x:v>
      </x:c>
      <x:c r="F118" s="2" t="str">
        <x:v>Yes</x:v>
      </x:c>
      <x:c r="G118" s="15" t="str">
        <x:v>0/6</x:v>
      </x:c>
      <x:c r="H118" s="18"/>
      <x:c r="I118" s="18"/>
      <x:c r="J118" s="18"/>
      <x:c r="K118" s="18"/>
      <x:c r="L118" s="18"/>
      <x:c r="M118" s="18"/>
      <x:c r="N118" s="12" t="str">
        <x:v>All physicians not listed separately.</x:v>
      </x:c>
      <x:c r="O118" s="12" t="str">
        <x:v>https://www.onetonline.org/link/summary/29-1229.00</x:v>
      </x:c>
      <x:c r="P118" s="12" t="str">
        <x:v>Diagnosing/treating group excludes separately listed nursing, pharmacy, therapy and dental hygiene; audiologists are assigned here.</x:v>
      </x:c>
    </x:row>
    <x:row r="119" ht="50.25" customHeight="1">
      <x:c r="A119" s="15" t="str">
        <x:v>611110</x:v>
      </x:c>
      <x:c r="B119" s="12" t="str">
        <x:v>Diagnosing/treating practitioners (e.g., dentists, optometrists, physicians, psychiatrists, podiatrists, surgeons, veterinarians) </x:v>
      </x:c>
      <x:c r="C119" s="35" t="str">
        <x:v>29-1241.00</x:v>
      </x:c>
      <x:c r="D119" s="12" t="str">
        <x:v>Ophthalmologists, Except Pediatric</x:v>
      </x:c>
      <x:c r="E119" s="2" t="str">
        <x:v>Include</x:v>
      </x:c>
      <x:c r="F119" s="2" t="str">
        <x:v>Yes</x:v>
      </x:c>
      <x:c r="G119" s="15" t="str">
        <x:v>6/6</x:v>
      </x:c>
      <x:c r="H119" s="18" t="n">
        <x:v>6</x:v>
      </x:c>
      <x:c r="I119" s="18" t="n">
        <x:v>5.33</x:v>
      </x:c>
      <x:c r="J119" s="18" t="n">
        <x:v>5.67</x:v>
      </x:c>
      <x:c r="K119" s="18" t="n">
        <x:v>5.33</x:v>
      </x:c>
      <x:c r="L119" s="18" t="n">
        <x:v>5</x:v>
      </x:c>
      <x:c r="M119" s="18" t="n">
        <x:v>6</x:v>
      </x:c>
      <x:c r="N119" s="12" t="str">
        <x:v>Diagnose and perform surgery to treat and help prevent disorders and diseases of the eye. May also provide vision services for treatment including glasses and contacts.</x:v>
      </x:c>
      <x:c r="O119" s="12" t="str">
        <x:v>https://www.onetonline.org/link/summary/29-1241.00</x:v>
      </x:c>
      <x:c r="P119" s="12" t="str">
        <x:v>Diagnosing/treating group excludes separately listed nursing, pharmacy, therapy and dental hygiene; audiologists are assigned here.</x:v>
      </x:c>
    </x:row>
    <x:row r="120" ht="50.25" customHeight="1">
      <x:c r="A120" s="15" t="str">
        <x:v>611110</x:v>
      </x:c>
      <x:c r="B120" s="12" t="str">
        <x:v>Diagnosing/treating practitioners (e.g., dentists, optometrists, physicians, psychiatrists, podiatrists, surgeons, veterinarians) </x:v>
      </x:c>
      <x:c r="C120" s="35" t="str">
        <x:v>29-1242.00</x:v>
      </x:c>
      <x:c r="D120" s="12" t="str">
        <x:v>Orthopedic Surgeons, Except Pediatric</x:v>
      </x:c>
      <x:c r="E120" s="2" t="str">
        <x:v>Exclude (no Work Values)</x:v>
      </x:c>
      <x:c r="F120" s="2" t="str">
        <x:v>Yes</x:v>
      </x:c>
      <x:c r="G120" s="15" t="str">
        <x:v>0/6</x:v>
      </x:c>
      <x:c r="H120" s="18"/>
      <x:c r="I120" s="18"/>
      <x:c r="J120" s="18"/>
      <x:c r="K120" s="18"/>
      <x:c r="L120" s="18"/>
      <x:c r="M120" s="18"/>
      <x:c r="N120" s="12" t="str">
        <x:v>Diagnose and perform surgery to treat and prevent rheumatic and other diseases in the musculoskeletal system.</x:v>
      </x:c>
      <x:c r="O120" s="12" t="str">
        <x:v>https://www.onetonline.org/link/summary/29-1242.00</x:v>
      </x:c>
      <x:c r="P120" s="12" t="str">
        <x:v>Diagnosing/treating group excludes separately listed nursing, pharmacy, therapy and dental hygiene; audiologists are assigned here.</x:v>
      </x:c>
    </x:row>
    <x:row r="121" ht="50.25" customHeight="1">
      <x:c r="A121" s="15" t="str">
        <x:v>611110</x:v>
      </x:c>
      <x:c r="B121" s="12" t="str">
        <x:v>Diagnosing/treating practitioners (e.g., dentists, optometrists, physicians, psychiatrists, podiatrists, surgeons, veterinarians) </x:v>
      </x:c>
      <x:c r="C121" s="35" t="str">
        <x:v>29-1243.00</x:v>
      </x:c>
      <x:c r="D121" s="12" t="str">
        <x:v>Pediatric Surgeons</x:v>
      </x:c>
      <x:c r="E121" s="2" t="str">
        <x:v>Exclude (no Work Values)</x:v>
      </x:c>
      <x:c r="F121" s="2" t="str">
        <x:v>Yes</x:v>
      </x:c>
      <x:c r="G121" s="15" t="str">
        <x:v>0/6</x:v>
      </x:c>
      <x:c r="H121" s="18"/>
      <x:c r="I121" s="18"/>
      <x:c r="J121" s="18"/>
      <x:c r="K121" s="18"/>
      <x:c r="L121" s="18"/>
      <x:c r="M121" s="18"/>
      <x:c r="N121" s="12" t="str">
        <x:v>Diagnose and perform surgery to treat fetal abnormalities and birth defects, diseases, and injuries in fetuses, premature and newborn infants, children, and adolescents. Includes all pediatric surgical specialties and subspecialties.</x:v>
      </x:c>
      <x:c r="O121" s="12" t="str">
        <x:v>https://www.onetonline.org/link/summary/29-1243.00</x:v>
      </x:c>
      <x:c r="P121" s="12" t="str">
        <x:v>Diagnosing/treating group excludes separately listed nursing, pharmacy, therapy and dental hygiene; audiologists are assigned here.</x:v>
      </x:c>
    </x:row>
    <x:row r="122" ht="50.25" customHeight="1">
      <x:c r="A122" s="15" t="str">
        <x:v>611110</x:v>
      </x:c>
      <x:c r="B122" s="12" t="str">
        <x:v>Diagnosing/treating practitioners (e.g., dentists, optometrists, physicians, psychiatrists, podiatrists, surgeons, veterinarians) </x:v>
      </x:c>
      <x:c r="C122" s="35" t="str">
        <x:v>29-1249.00</x:v>
      </x:c>
      <x:c r="D122" s="12" t="str">
        <x:v>Surgeons, All Other</x:v>
      </x:c>
      <x:c r="E122" s="2" t="str">
        <x:v>Exclude (no Work Values)</x:v>
      </x:c>
      <x:c r="F122" s="2" t="str">
        <x:v>Yes</x:v>
      </x:c>
      <x:c r="G122" s="15" t="str">
        <x:v>0/6</x:v>
      </x:c>
      <x:c r="H122" s="18"/>
      <x:c r="I122" s="18"/>
      <x:c r="J122" s="18"/>
      <x:c r="K122" s="18"/>
      <x:c r="L122" s="18"/>
      <x:c r="M122" s="18"/>
      <x:c r="N122" s="12" t="str">
        <x:v>All surgeons not listed separately.</x:v>
      </x:c>
      <x:c r="O122" s="12" t="str">
        <x:v>https://www.onetonline.org/link/summary/29-1249.00</x:v>
      </x:c>
      <x:c r="P122" s="12" t="str">
        <x:v>Diagnosing/treating group excludes separately listed nursing, pharmacy, therapy and dental hygiene; audiologists are assigned here.</x:v>
      </x:c>
    </x:row>
    <x:row r="123" ht="50.25" customHeight="1">
      <x:c r="A123" s="15" t="str">
        <x:v>611110</x:v>
      </x:c>
      <x:c r="B123" s="12" t="str">
        <x:v>Diagnosing/treating practitioners (e.g., dentists, optometrists, physicians, psychiatrists, podiatrists, surgeons, veterinarians) </x:v>
      </x:c>
      <x:c r="C123" s="35" t="str">
        <x:v>29-1291.00</x:v>
      </x:c>
      <x:c r="D123" s="12" t="str">
        <x:v>Acupuncturists</x:v>
      </x:c>
      <x:c r="E123" s="2" t="str">
        <x:v>Include</x:v>
      </x:c>
      <x:c r="F123" s="2" t="str">
        <x:v>Yes</x:v>
      </x:c>
      <x:c r="G123" s="15" t="str">
        <x:v>6/6</x:v>
      </x:c>
      <x:c r="H123" s="18" t="n">
        <x:v>5</x:v>
      </x:c>
      <x:c r="I123" s="18" t="n">
        <x:v>4.5</x:v>
      </x:c>
      <x:c r="J123" s="18" t="n">
        <x:v>4</x:v>
      </x:c>
      <x:c r="K123" s="18" t="n">
        <x:v>5</x:v>
      </x:c>
      <x:c r="L123" s="18" t="n">
        <x:v>4</x:v>
      </x:c>
      <x:c r="M123" s="18" t="n">
        <x:v>5</x:v>
      </x:c>
      <x:c r="N123" s="12" t="str">
        <x:v>Diagnose, treat, and prevent disorders by stimulating specific acupuncture points within the body using acupuncture needles. May also use cups, nutritional supplements, therapeutic massage, acupressure, and other alternative health therapies.</x:v>
      </x:c>
      <x:c r="O123" s="12" t="str">
        <x:v>https://www.onetonline.org/link/summary/29-1291.00</x:v>
      </x:c>
      <x:c r="P123" s="12" t="str">
        <x:v>Diagnosing/treating group excludes separately listed nursing, pharmacy, therapy and dental hygiene; audiologists are assigned here.</x:v>
      </x:c>
    </x:row>
    <x:row r="124" ht="50.25" customHeight="1">
      <x:c r="A124" s="15" t="str">
        <x:v>611110</x:v>
      </x:c>
      <x:c r="B124" s="12" t="str">
        <x:v>Diagnosing/treating practitioners (e.g., dentists, optometrists, physicians, psychiatrists, podiatrists, surgeons, veterinarians) </x:v>
      </x:c>
      <x:c r="C124" s="35" t="str">
        <x:v>29-1299.00</x:v>
      </x:c>
      <x:c r="D124" s="12" t="str">
        <x:v>Healthcare Diagnosing or Treating Practitioners, All Other</x:v>
      </x:c>
      <x:c r="E124" s="2" t="str">
        <x:v>Exclude (no Work Values)</x:v>
      </x:c>
      <x:c r="F124" s="2" t="str">
        <x:v>Yes</x:v>
      </x:c>
      <x:c r="G124" s="15" t="str">
        <x:v>0/6</x:v>
      </x:c>
      <x:c r="H124" s="18"/>
      <x:c r="I124" s="18"/>
      <x:c r="J124" s="18"/>
      <x:c r="K124" s="18"/>
      <x:c r="L124" s="18"/>
      <x:c r="M124" s="18"/>
      <x:c r="N124" s="12" t="str">
        <x:v>All healthcare diagnosing or treating practitioners not listed separately.</x:v>
      </x:c>
      <x:c r="O124" s="12" t="str">
        <x:v>https://www.onetonline.org/link/summary/29-1299.00</x:v>
      </x:c>
      <x:c r="P124" s="12" t="str">
        <x:v>Diagnosing/treating group excludes separately listed nursing, pharmacy, therapy and dental hygiene; audiologists are assigned here.</x:v>
      </x:c>
    </x:row>
    <x:row r="125" ht="50.25" customHeight="1">
      <x:c r="A125" s="15" t="str">
        <x:v>611120</x:v>
      </x:c>
      <x:c r="B125" s="12" t="str">
        <x:v>Registered nurses, pharmacists, dieticians, therapists, physician assistants, nurse practitioners</x:v>
      </x:c>
      <x:c r="C125" s="35" t="str">
        <x:v>29-1031.00</x:v>
      </x:c>
      <x:c r="D125" s="12" t="str">
        <x:v>Dietitians and Nutritionists</x:v>
      </x:c>
      <x:c r="E125" s="2" t="str">
        <x:v>Include</x:v>
      </x:c>
      <x:c r="F125" s="2" t="str">
        <x:v>Yes</x:v>
      </x:c>
      <x:c r="G125" s="15" t="str">
        <x:v>6/6</x:v>
      </x:c>
      <x:c r="H125" s="18" t="n">
        <x:v>5</x:v>
      </x:c>
      <x:c r="I125" s="18" t="n">
        <x:v>4.67</x:v>
      </x:c>
      <x:c r="J125" s="18" t="n">
        <x:v>5</x:v>
      </x:c>
      <x:c r="K125" s="18" t="n">
        <x:v>6</x:v>
      </x:c>
      <x:c r="L125" s="18" t="n">
        <x:v>4</x:v>
      </x:c>
      <x:c r="M125" s="18" t="n">
        <x:v>5.67</x:v>
      </x:c>
      <x:c r="N125" s="12" t="str">
        <x:v>Plan and conduct food service or nutritional programs to assist in the promotion of health and control of disease. May supervise activities of a department providing quantity food services, counsel individuals, or conduct nutritional research.</x:v>
      </x:c>
      <x:c r="O125" s="12" t="str">
        <x:v>https://www.onetonline.org/link/summary/29-1031.00</x:v>
      </x:c>
      <x:c r="P125" s="12" t="str">
        <x:v>Nursing, pharmacy, dietetics, therapy, physician assistants and nurse practitioners, including nurse anesthetists and midwives. Audiologists use 611110.</x:v>
      </x:c>
    </x:row>
    <x:row r="126" ht="50.25" customHeight="1">
      <x:c r="A126" s="15" t="str">
        <x:v>611120</x:v>
      </x:c>
      <x:c r="B126" s="12" t="str">
        <x:v>Registered nurses, pharmacists, dieticians, therapists, physician assistants, nurse practitioners</x:v>
      </x:c>
      <x:c r="C126" s="35" t="str">
        <x:v>29-1051.00</x:v>
      </x:c>
      <x:c r="D126" s="12" t="str">
        <x:v>Pharmacists</x:v>
      </x:c>
      <x:c r="E126" s="2" t="str">
        <x:v>Include</x:v>
      </x:c>
      <x:c r="F126" s="2" t="str">
        <x:v>Yes</x:v>
      </x:c>
      <x:c r="G126" s="15" t="str">
        <x:v>6/6</x:v>
      </x:c>
      <x:c r="H126" s="18" t="n">
        <x:v>4.67</x:v>
      </x:c>
      <x:c r="I126" s="18" t="n">
        <x:v>4.67</x:v>
      </x:c>
      <x:c r="J126" s="18" t="n">
        <x:v>5.67</x:v>
      </x:c>
      <x:c r="K126" s="18" t="n">
        <x:v>5</x:v>
      </x:c>
      <x:c r="L126" s="18" t="n">
        <x:v>5.33</x:v>
      </x:c>
      <x:c r="M126" s="18" t="n">
        <x:v>4.67</x:v>
      </x:c>
      <x:c r="N126" s="12" t="str">
        <x:v>Dispense drugs prescribed by physicians and other health practitioners and provide information to patients about medications and their use. May advise physicians and other health practitioners on the selection, dosage, interactions, and side effects of medications.</x:v>
      </x:c>
      <x:c r="O126" s="12" t="str">
        <x:v>https://www.onetonline.org/link/summary/29-1051.00</x:v>
      </x:c>
      <x:c r="P126" s="12" t="str">
        <x:v>Nursing, pharmacy, dietetics, therapy, physician assistants and nurse practitioners, including nurse anesthetists and midwives. Audiologists use 611110.</x:v>
      </x:c>
    </x:row>
    <x:row r="127" ht="50.25" customHeight="1">
      <x:c r="A127" s="15" t="str">
        <x:v>611120</x:v>
      </x:c>
      <x:c r="B127" s="12" t="str">
        <x:v>Registered nurses, pharmacists, dieticians, therapists, physician assistants, nurse practitioners</x:v>
      </x:c>
      <x:c r="C127" s="35" t="str">
        <x:v>29-1071.00</x:v>
      </x:c>
      <x:c r="D127" s="12" t="str">
        <x:v>Physician Assistants</x:v>
      </x:c>
      <x:c r="E127" s="2" t="str">
        <x:v>Include</x:v>
      </x:c>
      <x:c r="F127" s="2" t="str">
        <x:v>Yes</x:v>
      </x:c>
      <x:c r="G127" s="15" t="str">
        <x:v>6/6</x:v>
      </x:c>
      <x:c r="H127" s="18" t="n">
        <x:v>5.33</x:v>
      </x:c>
      <x:c r="I127" s="18" t="n">
        <x:v>5.5</x:v>
      </x:c>
      <x:c r="J127" s="18" t="n">
        <x:v>4.67</x:v>
      </x:c>
      <x:c r="K127" s="18" t="n">
        <x:v>6</x:v>
      </x:c>
      <x:c r="L127" s="18" t="n">
        <x:v>5.33</x:v>
      </x:c>
      <x:c r="M127" s="18" t="n">
        <x:v>5</x:v>
      </x:c>
      <x:c r="N127" s="12" t="str">
        <x:v>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x:v>
      </x:c>
      <x:c r="O127" s="12" t="str">
        <x:v>https://www.onetonline.org/link/summary/29-1071.00</x:v>
      </x:c>
      <x:c r="P127" s="12" t="str">
        <x:v>Nursing, pharmacy, dietetics, therapy, physician assistants and nurse practitioners, including nurse anesthetists and midwives. Audiologists use 611110.</x:v>
      </x:c>
    </x:row>
    <x:row r="128" ht="50.25" customHeight="1">
      <x:c r="A128" s="15" t="str">
        <x:v>611120</x:v>
      </x:c>
      <x:c r="B128" s="12" t="str">
        <x:v>Registered nurses, pharmacists, dieticians, therapists, physician assistants, nurse practitioners</x:v>
      </x:c>
      <x:c r="C128" s="35" t="str">
        <x:v>29-1122.00</x:v>
      </x:c>
      <x:c r="D128" s="12" t="str">
        <x:v>Occupational Therapists</x:v>
      </x:c>
      <x:c r="E128" s="2" t="str">
        <x:v>Include</x:v>
      </x:c>
      <x:c r="F128" s="2" t="str">
        <x:v>Yes</x:v>
      </x:c>
      <x:c r="G128" s="15" t="str">
        <x:v>6/6</x:v>
      </x:c>
      <x:c r="H128" s="18" t="n">
        <x:v>6</x:v>
      </x:c>
      <x:c r="I128" s="18" t="n">
        <x:v>5.83</x:v>
      </x:c>
      <x:c r="J128" s="18" t="n">
        <x:v>4.33</x:v>
      </x:c>
      <x:c r="K128" s="18" t="n">
        <x:v>7</x:v>
      </x:c>
      <x:c r="L128" s="18" t="n">
        <x:v>5</x:v>
      </x:c>
      <x:c r="M128" s="18" t="n">
        <x:v>5.67</x:v>
      </x:c>
      <x:c r="N128" s="12" t="str">
        <x:v>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x:v>
      </x:c>
      <x:c r="O128" s="12" t="str">
        <x:v>https://www.onetonline.org/link/summary/29-1122.00</x:v>
      </x:c>
      <x:c r="P128" s="12" t="str">
        <x:v>Nursing, pharmacy, dietetics, therapy, physician assistants and nurse practitioners, including nurse anesthetists and midwives. Audiologists use 611110.</x:v>
      </x:c>
    </x:row>
    <x:row r="129" ht="50.25" customHeight="1">
      <x:c r="A129" s="15" t="str">
        <x:v>611120</x:v>
      </x:c>
      <x:c r="B129" s="12" t="str">
        <x:v>Registered nurses, pharmacists, dieticians, therapists, physician assistants, nurse practitioners</x:v>
      </x:c>
      <x:c r="C129" s="35" t="str">
        <x:v>29-1123.00</x:v>
      </x:c>
      <x:c r="D129" s="12" t="str">
        <x:v>Physical Therapists</x:v>
      </x:c>
      <x:c r="E129" s="2" t="str">
        <x:v>Include</x:v>
      </x:c>
      <x:c r="F129" s="2" t="str">
        <x:v>Yes</x:v>
      </x:c>
      <x:c r="G129" s="15" t="str">
        <x:v>6/6</x:v>
      </x:c>
      <x:c r="H129" s="18" t="n">
        <x:v>5.67</x:v>
      </x:c>
      <x:c r="I129" s="18" t="n">
        <x:v>5.33</x:v>
      </x:c>
      <x:c r="J129" s="18" t="n">
        <x:v>5.67</x:v>
      </x:c>
      <x:c r="K129" s="18" t="n">
        <x:v>6.67</x:v>
      </x:c>
      <x:c r="L129" s="18" t="n">
        <x:v>4.67</x:v>
      </x:c>
      <x:c r="M129" s="18" t="n">
        <x:v>5.33</x:v>
      </x:c>
      <x:c r="N129" s="12" t="str">
        <x:v>Assess, plan, organize, and participate in rehabilitative programs that improve mobility, relieve pain, increase strength, and improve or correct disabling conditions resulting from disease or injury.</x:v>
      </x:c>
      <x:c r="O129" s="12" t="str">
        <x:v>https://www.onetonline.org/link/summary/29-1123.00</x:v>
      </x:c>
      <x:c r="P129" s="12" t="str">
        <x:v>Nursing, pharmacy, dietetics, therapy, physician assistants and nurse practitioners, including nurse anesthetists and midwives. Audiologists use 611110.</x:v>
      </x:c>
    </x:row>
    <x:row r="130" ht="50.25" customHeight="1">
      <x:c r="A130" s="15" t="str">
        <x:v>611120</x:v>
      </x:c>
      <x:c r="B130" s="12" t="str">
        <x:v>Registered nurses, pharmacists, dieticians, therapists, physician assistants, nurse practitioners</x:v>
      </x:c>
      <x:c r="C130" s="35" t="str">
        <x:v>29-1124.00</x:v>
      </x:c>
      <x:c r="D130" s="12" t="str">
        <x:v>Radiation Therapists</x:v>
      </x:c>
      <x:c r="E130" s="2" t="str">
        <x:v>Include</x:v>
      </x:c>
      <x:c r="F130" s="2" t="str">
        <x:v>Yes</x:v>
      </x:c>
      <x:c r="G130" s="15" t="str">
        <x:v>6/6</x:v>
      </x:c>
      <x:c r="H130" s="18" t="n">
        <x:v>5</x:v>
      </x:c>
      <x:c r="I130" s="18" t="n">
        <x:v>5</x:v>
      </x:c>
      <x:c r="J130" s="18" t="n">
        <x:v>4.33</x:v>
      </x:c>
      <x:c r="K130" s="18" t="n">
        <x:v>6.33</x:v>
      </x:c>
      <x:c r="L130" s="18" t="n">
        <x:v>6.33</x:v>
      </x:c>
      <x:c r="M130" s="18" t="n">
        <x:v>4.67</x:v>
      </x:c>
      <x:c r="N130" s="12" t="str">
        <x:v>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x:v>
      </x:c>
      <x:c r="O130" s="12" t="str">
        <x:v>https://www.onetonline.org/link/summary/29-1124.00</x:v>
      </x:c>
      <x:c r="P130" s="12" t="str">
        <x:v>Nursing, pharmacy, dietetics, therapy, physician assistants and nurse practitioners, including nurse anesthetists and midwives. Audiologists use 611110.</x:v>
      </x:c>
    </x:row>
    <x:row r="131" ht="50.25" customHeight="1">
      <x:c r="A131" s="15" t="str">
        <x:v>611120</x:v>
      </x:c>
      <x:c r="B131" s="12" t="str">
        <x:v>Registered nurses, pharmacists, dieticians, therapists, physician assistants, nurse practitioners</x:v>
      </x:c>
      <x:c r="C131" s="35" t="str">
        <x:v>29-1125.00</x:v>
      </x:c>
      <x:c r="D131" s="12" t="str">
        <x:v>Recreational Therapists</x:v>
      </x:c>
      <x:c r="E131" s="2" t="str">
        <x:v>Include</x:v>
      </x:c>
      <x:c r="F131" s="2" t="str">
        <x:v>Yes</x:v>
      </x:c>
      <x:c r="G131" s="15" t="str">
        <x:v>6/6</x:v>
      </x:c>
      <x:c r="H131" s="18" t="n">
        <x:v>5</x:v>
      </x:c>
      <x:c r="I131" s="18" t="n">
        <x:v>4.17</x:v>
      </x:c>
      <x:c r="J131" s="18" t="n">
        <x:v>4</x:v>
      </x:c>
      <x:c r="K131" s="18" t="n">
        <x:v>7</x:v>
      </x:c>
      <x:c r="L131" s="18" t="n">
        <x:v>3.67</x:v>
      </x:c>
      <x:c r="M131" s="18" t="n">
        <x:v>4.67</x:v>
      </x:c>
      <x:c r="N131" s="12" t="str">
        <x:v>Plan, direct, or coordinate medically-approved recreation programs for patients in hospitals, nursing homes, or other institutions. Activities include sports, trips, dramatics, social activities, and crafts. May assess a patient condition and recommend appropriate recreational activity.</x:v>
      </x:c>
      <x:c r="O131" s="12" t="str">
        <x:v>https://www.onetonline.org/link/summary/29-1125.00</x:v>
      </x:c>
      <x:c r="P131" s="12" t="str">
        <x:v>Nursing, pharmacy, dietetics, therapy, physician assistants and nurse practitioners, including nurse anesthetists and midwives. Audiologists use 611110.</x:v>
      </x:c>
    </x:row>
    <x:row r="132" ht="50.25" customHeight="1">
      <x:c r="A132" s="15" t="str">
        <x:v>611120</x:v>
      </x:c>
      <x:c r="B132" s="12" t="str">
        <x:v>Registered nurses, pharmacists, dieticians, therapists, physician assistants, nurse practitioners</x:v>
      </x:c>
      <x:c r="C132" s="35" t="str">
        <x:v>29-1126.00</x:v>
      </x:c>
      <x:c r="D132" s="12" t="str">
        <x:v>Respiratory Therapists</x:v>
      </x:c>
      <x:c r="E132" s="2" t="str">
        <x:v>Include</x:v>
      </x:c>
      <x:c r="F132" s="2" t="str">
        <x:v>Yes</x:v>
      </x:c>
      <x:c r="G132" s="15" t="str">
        <x:v>6/6</x:v>
      </x:c>
      <x:c r="H132" s="18" t="n">
        <x:v>4.33</x:v>
      </x:c>
      <x:c r="I132" s="18" t="n">
        <x:v>4.5</x:v>
      </x:c>
      <x:c r="J132" s="18" t="n">
        <x:v>4.67</x:v>
      </x:c>
      <x:c r="K132" s="18" t="n">
        <x:v>6</x:v>
      </x:c>
      <x:c r="L132" s="18" t="n">
        <x:v>5.67</x:v>
      </x:c>
      <x:c r="M132" s="18" t="n">
        <x:v>4</x:v>
      </x:c>
      <x:c r="N132" s="12" t="str">
        <x:v>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x:v>
      </x:c>
      <x:c r="O132" s="12" t="str">
        <x:v>https://www.onetonline.org/link/summary/29-1126.00</x:v>
      </x:c>
      <x:c r="P132" s="12" t="str">
        <x:v>Nursing, pharmacy, dietetics, therapy, physician assistants and nurse practitioners, including nurse anesthetists and midwives. Audiologists use 611110.</x:v>
      </x:c>
    </x:row>
    <x:row r="133" ht="50.25" customHeight="1">
      <x:c r="A133" s="15" t="str">
        <x:v>611120</x:v>
      </x:c>
      <x:c r="B133" s="12" t="str">
        <x:v>Registered nurses, pharmacists, dieticians, therapists, physician assistants, nurse practitioners</x:v>
      </x:c>
      <x:c r="C133" s="35" t="str">
        <x:v>29-1127.00</x:v>
      </x:c>
      <x:c r="D133" s="12" t="str">
        <x:v>Speech-Language Pathologists</x:v>
      </x:c>
      <x:c r="E133" s="2" t="str">
        <x:v>Include</x:v>
      </x:c>
      <x:c r="F133" s="2" t="str">
        <x:v>Yes</x:v>
      </x:c>
      <x:c r="G133" s="15" t="str">
        <x:v>6/6</x:v>
      </x:c>
      <x:c r="H133" s="18" t="n">
        <x:v>5.67</x:v>
      </x:c>
      <x:c r="I133" s="18" t="n">
        <x:v>5.17</x:v>
      </x:c>
      <x:c r="J133" s="18" t="n">
        <x:v>4.67</x:v>
      </x:c>
      <x:c r="K133" s="18" t="n">
        <x:v>6.67</x:v>
      </x:c>
      <x:c r="L133" s="18" t="n">
        <x:v>4</x:v>
      </x:c>
      <x:c r="M133" s="18" t="n">
        <x:v>5.33</x:v>
      </x:c>
      <x:c r="N133" s="12" t="str">
        <x:v>Assess and treat persons with speech, language, voice, and fluency disorders. May select alternative communication systems and teach their use. May perform research related to speech and language problems.</x:v>
      </x:c>
      <x:c r="O133" s="12" t="str">
        <x:v>https://www.onetonline.org/link/summary/29-1127.00</x:v>
      </x:c>
      <x:c r="P133" s="12" t="str">
        <x:v>Nursing, pharmacy, dietetics, therapy, physician assistants and nurse practitioners, including nurse anesthetists and midwives. Audiologists use 611110.</x:v>
      </x:c>
    </x:row>
    <x:row r="134" ht="50.25" customHeight="1">
      <x:c r="A134" s="15" t="str">
        <x:v>611120</x:v>
      </x:c>
      <x:c r="B134" s="12" t="str">
        <x:v>Registered nurses, pharmacists, dieticians, therapists, physician assistants, nurse practitioners</x:v>
      </x:c>
      <x:c r="C134" s="35" t="str">
        <x:v>29-1128.00</x:v>
      </x:c>
      <x:c r="D134" s="12" t="str">
        <x:v>Exercise Physiologists</x:v>
      </x:c>
      <x:c r="E134" s="2" t="str">
        <x:v>Include</x:v>
      </x:c>
      <x:c r="F134" s="2" t="str">
        <x:v>Yes</x:v>
      </x:c>
      <x:c r="G134" s="15" t="str">
        <x:v>6/6</x:v>
      </x:c>
      <x:c r="H134" s="18" t="n">
        <x:v>6</x:v>
      </x:c>
      <x:c r="I134" s="18" t="n">
        <x:v>4.67</x:v>
      </x:c>
      <x:c r="J134" s="18" t="n">
        <x:v>5</x:v>
      </x:c>
      <x:c r="K134" s="18" t="n">
        <x:v>6.33</x:v>
      </x:c>
      <x:c r="L134" s="18" t="n">
        <x:v>3.33</x:v>
      </x:c>
      <x:c r="M134" s="18" t="n">
        <x:v>5.67</x:v>
      </x:c>
      <x:c r="N134" s="12" t="str">
        <x:v>Assess, plan, or implement fitness programs that include exercise or physical activities such as those designed to improve cardiorespiratory function, body composition, muscular strength, muscular endurance, or flexibility.</x:v>
      </x:c>
      <x:c r="O134" s="12" t="str">
        <x:v>https://www.onetonline.org/link/summary/29-1128.00</x:v>
      </x:c>
      <x:c r="P134" s="12" t="str">
        <x:v>Nursing, pharmacy, dietetics, therapy, physician assistants and nurse practitioners, including nurse anesthetists and midwives. Audiologists use 611110.</x:v>
      </x:c>
    </x:row>
    <x:row r="135" ht="50.25" customHeight="1">
      <x:c r="A135" s="15" t="str">
        <x:v>611120</x:v>
      </x:c>
      <x:c r="B135" s="12" t="str">
        <x:v>Registered nurses, pharmacists, dieticians, therapists, physician assistants, nurse practitioners</x:v>
      </x:c>
      <x:c r="C135" s="35" t="str">
        <x:v>29-1129.00</x:v>
      </x:c>
      <x:c r="D135" s="12" t="str">
        <x:v>Therapists, All Other</x:v>
      </x:c>
      <x:c r="E135" s="2" t="str">
        <x:v>Exclude (no Work Values)</x:v>
      </x:c>
      <x:c r="F135" s="2" t="str">
        <x:v>Yes</x:v>
      </x:c>
      <x:c r="G135" s="15" t="str">
        <x:v>0/6</x:v>
      </x:c>
      <x:c r="H135" s="18"/>
      <x:c r="I135" s="18"/>
      <x:c r="J135" s="18"/>
      <x:c r="K135" s="18"/>
      <x:c r="L135" s="18"/>
      <x:c r="M135" s="18"/>
      <x:c r="N135" s="12" t="str">
        <x:v>All therapists not listed separately.</x:v>
      </x:c>
      <x:c r="O135" s="12" t="str">
        <x:v>https://www.onetonline.org/link/summary/29-1129.00</x:v>
      </x:c>
      <x:c r="P135" s="12" t="str">
        <x:v>Nursing, pharmacy, dietetics, therapy, physician assistants and nurse practitioners, including nurse anesthetists and midwives. Audiologists use 611110.</x:v>
      </x:c>
    </x:row>
    <x:row r="136" ht="50.25" customHeight="1">
      <x:c r="A136" s="15" t="str">
        <x:v>611120</x:v>
      </x:c>
      <x:c r="B136" s="12" t="str">
        <x:v>Registered nurses, pharmacists, dieticians, therapists, physician assistants, nurse practitioners</x:v>
      </x:c>
      <x:c r="C136" s="35" t="str">
        <x:v>29-1141.00</x:v>
      </x:c>
      <x:c r="D136" s="12" t="str">
        <x:v>Registered Nurses</x:v>
      </x:c>
      <x:c r="E136" s="2" t="str">
        <x:v>Include</x:v>
      </x:c>
      <x:c r="F136" s="2" t="str">
        <x:v>Yes</x:v>
      </x:c>
      <x:c r="G136" s="15" t="str">
        <x:v>6/6</x:v>
      </x:c>
      <x:c r="H136" s="18" t="n">
        <x:v>5.33</x:v>
      </x:c>
      <x:c r="I136" s="18" t="n">
        <x:v>4.83</x:v>
      </x:c>
      <x:c r="J136" s="18" t="n">
        <x:v>4.67</x:v>
      </x:c>
      <x:c r="K136" s="18" t="n">
        <x:v>6.33</x:v>
      </x:c>
      <x:c r="L136" s="18" t="n">
        <x:v>6</x:v>
      </x:c>
      <x:c r="M136" s="18" t="n">
        <x:v>5.33</x:v>
      </x:c>
      <x:c r="N136" s="12" t="str">
        <x:v>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c r="O136" s="12" t="str">
        <x:v>https://www.onetonline.org/link/summary/29-1141.00</x:v>
      </x:c>
      <x:c r="P136" s="12" t="str">
        <x:v>Nursing, pharmacy, dietetics, therapy, physician assistants and nurse practitioners, including nurse anesthetists and midwives. Audiologists use 611110.</x:v>
      </x:c>
    </x:row>
    <x:row r="137" ht="50.25" customHeight="1">
      <x:c r="A137" s="15" t="str">
        <x:v>611120</x:v>
      </x:c>
      <x:c r="B137" s="12" t="str">
        <x:v>Registered nurses, pharmacists, dieticians, therapists, physician assistants, nurse practitioners</x:v>
      </x:c>
      <x:c r="C137" s="35" t="str">
        <x:v>29-1151.00</x:v>
      </x:c>
      <x:c r="D137" s="12" t="str">
        <x:v>Nurse Anesthetists</x:v>
      </x:c>
      <x:c r="E137" s="2" t="str">
        <x:v>Include</x:v>
      </x:c>
      <x:c r="F137" s="2" t="str">
        <x:v>Yes</x:v>
      </x:c>
      <x:c r="G137" s="15" t="str">
        <x:v>6/6</x:v>
      </x:c>
      <x:c r="H137" s="18" t="n">
        <x:v>4.67</x:v>
      </x:c>
      <x:c r="I137" s="18" t="n">
        <x:v>4</x:v>
      </x:c>
      <x:c r="J137" s="18" t="n">
        <x:v>4</x:v>
      </x:c>
      <x:c r="K137" s="18" t="n">
        <x:v>5</x:v>
      </x:c>
      <x:c r="L137" s="18" t="n">
        <x:v>5.33</x:v>
      </x:c>
      <x:c r="M137" s="18" t="n">
        <x:v>4</x:v>
      </x:c>
      <x:c r="N137" s="12" t="str">
        <x:v>Administer anesthesia, monitor patient's vital signs, and oversee patient recovery from anesthesia. May assist anesthesiologists, surgeons, other physicians, or dentists. Must be registered nurses who have specialized graduate education.</x:v>
      </x:c>
      <x:c r="O137" s="12" t="str">
        <x:v>https://www.onetonline.org/link/summary/29-1151.00</x:v>
      </x:c>
      <x:c r="P137" s="12" t="str">
        <x:v>Nursing, pharmacy, dietetics, therapy, physician assistants and nurse practitioners, including nurse anesthetists and midwives. Audiologists use 611110.</x:v>
      </x:c>
    </x:row>
    <x:row r="138" ht="50.25" customHeight="1">
      <x:c r="A138" s="15" t="str">
        <x:v>611120</x:v>
      </x:c>
      <x:c r="B138" s="12" t="str">
        <x:v>Registered nurses, pharmacists, dieticians, therapists, physician assistants, nurse practitioners</x:v>
      </x:c>
      <x:c r="C138" s="35" t="str">
        <x:v>29-1161.00</x:v>
      </x:c>
      <x:c r="D138" s="12" t="str">
        <x:v>Nurse Midwives</x:v>
      </x:c>
      <x:c r="E138" s="2" t="str">
        <x:v>Include</x:v>
      </x:c>
      <x:c r="F138" s="2" t="str">
        <x:v>Yes</x:v>
      </x:c>
      <x:c r="G138" s="15" t="str">
        <x:v>6/6</x:v>
      </x:c>
      <x:c r="H138" s="18" t="n">
        <x:v>5.67</x:v>
      </x:c>
      <x:c r="I138" s="18" t="n">
        <x:v>5</x:v>
      </x:c>
      <x:c r="J138" s="18" t="n">
        <x:v>5</x:v>
      </x:c>
      <x:c r="K138" s="18" t="n">
        <x:v>6.67</x:v>
      </x:c>
      <x:c r="L138" s="18" t="n">
        <x:v>4</x:v>
      </x:c>
      <x:c r="M138" s="18" t="n">
        <x:v>5.33</x:v>
      </x:c>
      <x:c r="N138" s="12" t="str">
        <x:v>Diagnose and coordinate all aspects of the birthing process, either independently or as part of a healthcare team. May provide well-woman gynecological care. Must have specialized, graduate nursing education.</x:v>
      </x:c>
      <x:c r="O138" s="12" t="str">
        <x:v>https://www.onetonline.org/link/summary/29-1161.00</x:v>
      </x:c>
      <x:c r="P138" s="12" t="str">
        <x:v>Nursing, pharmacy, dietetics, therapy, physician assistants and nurse practitioners, including nurse anesthetists and midwives. Audiologists use 611110.</x:v>
      </x:c>
    </x:row>
    <x:row r="139" ht="50.25" customHeight="1">
      <x:c r="A139" s="15" t="str">
        <x:v>611120</x:v>
      </x:c>
      <x:c r="B139" s="12" t="str">
        <x:v>Registered nurses, pharmacists, dieticians, therapists, physician assistants, nurse practitioners</x:v>
      </x:c>
      <x:c r="C139" s="35" t="str">
        <x:v>29-1171.00</x:v>
      </x:c>
      <x:c r="D139" s="12" t="str">
        <x:v>Nurse Practitioners</x:v>
      </x:c>
      <x:c r="E139" s="2" t="str">
        <x:v>Include</x:v>
      </x:c>
      <x:c r="F139" s="2" t="str">
        <x:v>Yes</x:v>
      </x:c>
      <x:c r="G139" s="15" t="str">
        <x:v>6/6</x:v>
      </x:c>
      <x:c r="H139" s="18" t="n">
        <x:v>5.67</x:v>
      </x:c>
      <x:c r="I139" s="18" t="n">
        <x:v>5.5</x:v>
      </x:c>
      <x:c r="J139" s="18" t="n">
        <x:v>5</x:v>
      </x:c>
      <x:c r="K139" s="18" t="n">
        <x:v>6.67</x:v>
      </x:c>
      <x:c r="L139" s="18" t="n">
        <x:v>5.67</x:v>
      </x:c>
      <x:c r="M139" s="18" t="n">
        <x:v>5.67</x:v>
      </x:c>
      <x:c r="N139" s="12" t="str">
        <x:v>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x:v>
      </x:c>
      <x:c r="O139" s="12" t="str">
        <x:v>https://www.onetonline.org/link/summary/29-1171.00</x:v>
      </x:c>
      <x:c r="P139" s="12" t="str">
        <x:v>Nursing, pharmacy, dietetics, therapy, physician assistants and nurse practitioners, including nurse anesthetists and midwives. Audiologists use 611110.</x:v>
      </x:c>
    </x:row>
    <x:row r="140" ht="37.5" customHeight="1">
      <x:c r="A140" s="15" t="str">
        <x:v>611120</x:v>
      </x:c>
      <x:c r="B140" s="12" t="str">
        <x:v>Registered nurses, pharmacists, dieticians, therapists, physician assistants, nurse practitioners</x:v>
      </x:c>
      <x:c r="C140" s="35" t="str">
        <x:v>29-1181.00</x:v>
      </x:c>
      <x:c r="D140" s="12" t="str">
        <x:v>Audiologists</x:v>
      </x:c>
      <x:c r="E140" s="2" t="str">
        <x:v>Exclude (outside scope)</x:v>
      </x:c>
      <x:c r="F140" s="2" t="str">
        <x:v>Yes</x:v>
      </x:c>
      <x:c r="G140" s="15" t="str">
        <x:v>6/6</x:v>
      </x:c>
      <x:c r="H140" s="18" t="n">
        <x:v>5.67</x:v>
      </x:c>
      <x:c r="I140" s="18" t="n">
        <x:v>5.5</x:v>
      </x:c>
      <x:c r="J140" s="18" t="n">
        <x:v>5</x:v>
      </x:c>
      <x:c r="K140" s="18" t="n">
        <x:v>6.33</x:v>
      </x:c>
      <x:c r="L140" s="18" t="n">
        <x:v>5</x:v>
      </x:c>
      <x:c r="M140" s="18" t="n">
        <x:v>5</x:v>
      </x:c>
      <x:c r="N140" s="12" t="str">
        <x:v>Assess and treat persons with hearing and related disorders. May fit hearing aids and provide auditory training. May perform research related to hearing problems.</x:v>
      </x:c>
      <x:c r="O140" s="12" t="str">
        <x:v>https://www.onetonline.org/link/summary/29-1181.00</x:v>
      </x:c>
      <x:c r="P140" s="12" t="str">
        <x:v>Audiologists belong to the diagnosing/treating group, not the nurse/pharmacist/therapist group.</x:v>
      </x:c>
    </x:row>
    <x:row r="141" ht="63" customHeight="1">
      <x:c r="A141" s="15" t="str">
        <x:v>611130</x:v>
      </x:c>
      <x:c r="B141" s="12" t="str">
        <x:v>Health technologists and technicians (e.g., dental hygienists, health record technologists/technicians, licensed practical nurses, medical or laboratory technicians, radiological technicians)</x:v>
      </x:c>
      <x:c r="C141" s="35" t="str">
        <x:v>29-1292.00</x:v>
      </x:c>
      <x:c r="D141" s="12" t="str">
        <x:v>Dental Hygienists</x:v>
      </x:c>
      <x:c r="E141" s="2" t="str">
        <x:v>Include</x:v>
      </x:c>
      <x:c r="F141" s="2" t="str">
        <x:v>Yes</x:v>
      </x:c>
      <x:c r="G141" s="15" t="str">
        <x:v>6/6</x:v>
      </x:c>
      <x:c r="H141" s="18" t="n">
        <x:v>4.33</x:v>
      </x:c>
      <x:c r="I141" s="18" t="n">
        <x:v>4.5</x:v>
      </x:c>
      <x:c r="J141" s="18" t="n">
        <x:v>3.67</x:v>
      </x:c>
      <x:c r="K141" s="18" t="n">
        <x:v>6.67</x:v>
      </x:c>
      <x:c r="L141" s="18" t="n">
        <x:v>5</x:v>
      </x:c>
      <x:c r="M141" s="18" t="n">
        <x:v>4.67</x:v>
      </x:c>
      <x:c r="N141" s="12" t="str">
        <x:v>Administer oral hygiene care to patients. Assess patient oral hygiene problems or needs and maintain health records. Advise patients on oral health maintenance and disease prevention. May provide advanced care such as providing fluoride treatment or administering topical anesthesia.</x:v>
      </x:c>
      <x:c r="O141" s="12" t="str">
        <x:v>https://www.onetonline.org/link/summary/29-1292.00</x:v>
      </x:c>
      <x:c r="P141" s="12" t="str">
        <x:v>Health technical roles named by NSCG, including dental hygiene, laboratory, medical records and health information jobs.</x:v>
      </x:c>
    </x:row>
    <x:row r="142" ht="63" customHeight="1">
      <x:c r="A142" s="15" t="str">
        <x:v>611130</x:v>
      </x:c>
      <x:c r="B142" s="12" t="str">
        <x:v>Health technologists and technicians (e.g., dental hygienists, health record technologists/technicians, licensed practical nurses, medical or laboratory technicians, radiological technicians)</x:v>
      </x:c>
      <x:c r="C142" s="35" t="str">
        <x:v>29-2011.00</x:v>
      </x:c>
      <x:c r="D142" s="12" t="str">
        <x:v>Medical and Clinical Laboratory Technologists</x:v>
      </x:c>
      <x:c r="E142" s="2" t="str">
        <x:v>Include</x:v>
      </x:c>
      <x:c r="F142" s="2" t="str">
        <x:v>Yes</x:v>
      </x:c>
      <x:c r="G142" s="15" t="str">
        <x:v>6/6</x:v>
      </x:c>
      <x:c r="H142" s="18" t="n">
        <x:v>4.33</x:v>
      </x:c>
      <x:c r="I142" s="18" t="n">
        <x:v>3.83</x:v>
      </x:c>
      <x:c r="J142" s="18" t="n">
        <x:v>3.67</x:v>
      </x:c>
      <x:c r="K142" s="18" t="n">
        <x:v>4.33</x:v>
      </x:c>
      <x:c r="L142" s="18" t="n">
        <x:v>5.67</x:v>
      </x:c>
      <x:c r="M142" s="18" t="n">
        <x:v>4.67</x:v>
      </x:c>
      <x:c r="N142" s="12" t="str">
        <x:v>Perform complex medical laboratory tests for diagnosis, treatment, and prevention of disease. May train or supervise staff.</x:v>
      </x:c>
      <x:c r="O142" s="12" t="str">
        <x:v>https://www.onetonline.org/link/summary/29-2011.00</x:v>
      </x:c>
      <x:c r="P142" s="12" t="str">
        <x:v>Health technical roles named by NSCG, including dental hygiene, laboratory, medical records and health information jobs.</x:v>
      </x:c>
    </x:row>
    <x:row r="143" ht="63" customHeight="1">
      <x:c r="A143" s="15" t="str">
        <x:v>611130</x:v>
      </x:c>
      <x:c r="B143" s="12" t="str">
        <x:v>Health technologists and technicians (e.g., dental hygienists, health record technologists/technicians, licensed practical nurses, medical or laboratory technicians, radiological technicians)</x:v>
      </x:c>
      <x:c r="C143" s="35" t="str">
        <x:v>29-2012.00</x:v>
      </x:c>
      <x:c r="D143" s="12" t="str">
        <x:v>Medical and Clinical Laboratory Technicians</x:v>
      </x:c>
      <x:c r="E143" s="2" t="str">
        <x:v>Include</x:v>
      </x:c>
      <x:c r="F143" s="2" t="str">
        <x:v>Yes</x:v>
      </x:c>
      <x:c r="G143" s="15" t="str">
        <x:v>6/6</x:v>
      </x:c>
      <x:c r="H143" s="18" t="n">
        <x:v>3</x:v>
      </x:c>
      <x:c r="I143" s="18" t="n">
        <x:v>3.33</x:v>
      </x:c>
      <x:c r="J143" s="18" t="n">
        <x:v>2.67</x:v>
      </x:c>
      <x:c r="K143" s="18" t="n">
        <x:v>4.33</x:v>
      </x:c>
      <x:c r="L143" s="18" t="n">
        <x:v>5.33</x:v>
      </x:c>
      <x:c r="M143" s="18" t="n">
        <x:v>3.67</x:v>
      </x:c>
      <x:c r="N143" s="12" t="str">
        <x:v>Perform routine medical laboratory tests for the diagnosis, treatment, and prevention of disease. May work under the supervision of a medical technologist.</x:v>
      </x:c>
      <x:c r="O143" s="12" t="str">
        <x:v>https://www.onetonline.org/link/summary/29-2012.00</x:v>
      </x:c>
      <x:c r="P143" s="12" t="str">
        <x:v>Health technical roles named by NSCG, including dental hygiene, laboratory, medical records and health information jobs.</x:v>
      </x:c>
    </x:row>
    <x:row r="144" ht="63" customHeight="1">
      <x:c r="A144" s="15" t="str">
        <x:v>611130</x:v>
      </x:c>
      <x:c r="B144" s="12" t="str">
        <x:v>Health technologists and technicians (e.g., dental hygienists, health record technologists/technicians, licensed practical nurses, medical or laboratory technicians, radiological technicians)</x:v>
      </x:c>
      <x:c r="C144" s="35" t="str">
        <x:v>29-2031.00</x:v>
      </x:c>
      <x:c r="D144" s="12" t="str">
        <x:v>Cardiovascular Technologists and Technicians</x:v>
      </x:c>
      <x:c r="E144" s="2" t="str">
        <x:v>Include</x:v>
      </x:c>
      <x:c r="F144" s="2" t="str">
        <x:v>Yes</x:v>
      </x:c>
      <x:c r="G144" s="15" t="str">
        <x:v>6/6</x:v>
      </x:c>
      <x:c r="H144" s="18" t="n">
        <x:v>4.33</x:v>
      </x:c>
      <x:c r="I144" s="18" t="n">
        <x:v>4.33</x:v>
      </x:c>
      <x:c r="J144" s="18" t="n">
        <x:v>4</x:v>
      </x:c>
      <x:c r="K144" s="18" t="n">
        <x:v>6</x:v>
      </x:c>
      <x:c r="L144" s="18" t="n">
        <x:v>6</x:v>
      </x:c>
      <x:c r="M144" s="18" t="n">
        <x:v>5</x:v>
      </x:c>
      <x:c r="N144" s="12" t="str">
        <x:v>Conduct tests on pulmonary or cardiovascular systems of patients for diagnostic, therapeutic, or research purposes. May conduct or assist in electrocardiograms, cardiac catheterizations, pulmonary functions, lung capacity, and similar tests.</x:v>
      </x:c>
      <x:c r="O144" s="12" t="str">
        <x:v>https://www.onetonline.org/link/summary/29-2031.00</x:v>
      </x:c>
      <x:c r="P144" s="12" t="str">
        <x:v>Health technical roles named by NSCG, including dental hygiene, laboratory, medical records and health information jobs.</x:v>
      </x:c>
    </x:row>
    <x:row r="145" ht="63" customHeight="1">
      <x:c r="A145" s="15" t="str">
        <x:v>611130</x:v>
      </x:c>
      <x:c r="B145" s="12" t="str">
        <x:v>Health technologists and technicians (e.g., dental hygienists, health record technologists/technicians, licensed practical nurses, medical or laboratory technicians, radiological technicians)</x:v>
      </x:c>
      <x:c r="C145" s="35" t="str">
        <x:v>29-2032.00</x:v>
      </x:c>
      <x:c r="D145" s="12" t="str">
        <x:v>Diagnostic Medical Sonographers</x:v>
      </x:c>
      <x:c r="E145" s="2" t="str">
        <x:v>Include</x:v>
      </x:c>
      <x:c r="F145" s="2" t="str">
        <x:v>Yes</x:v>
      </x:c>
      <x:c r="G145" s="15" t="str">
        <x:v>6/6</x:v>
      </x:c>
      <x:c r="H145" s="18" t="n">
        <x:v>5</x:v>
      </x:c>
      <x:c r="I145" s="18" t="n">
        <x:v>5</x:v>
      </x:c>
      <x:c r="J145" s="18" t="n">
        <x:v>4.33</x:v>
      </x:c>
      <x:c r="K145" s="18" t="n">
        <x:v>5.67</x:v>
      </x:c>
      <x:c r="L145" s="18" t="n">
        <x:v>5.67</x:v>
      </x:c>
      <x:c r="M145" s="18" t="n">
        <x:v>4.67</x:v>
      </x:c>
      <x:c r="N145" s="12" t="str">
        <x:v>Produce ultrasonic recordings of internal organs for use by physicians. Includes vascular technologists.</x:v>
      </x:c>
      <x:c r="O145" s="12" t="str">
        <x:v>https://www.onetonline.org/link/summary/29-2032.00</x:v>
      </x:c>
      <x:c r="P145" s="12" t="str">
        <x:v>Health technical roles named by NSCG, including dental hygiene, laboratory, medical records and health information jobs.</x:v>
      </x:c>
    </x:row>
    <x:row r="146" ht="63" customHeight="1">
      <x:c r="A146" s="15" t="str">
        <x:v>611130</x:v>
      </x:c>
      <x:c r="B146" s="12" t="str">
        <x:v>Health technologists and technicians (e.g., dental hygienists, health record technologists/technicians, licensed practical nurses, medical or laboratory technicians, radiological technicians)</x:v>
      </x:c>
      <x:c r="C146" s="35" t="str">
        <x:v>29-2033.00</x:v>
      </x:c>
      <x:c r="D146" s="12" t="str">
        <x:v>Nuclear Medicine Technologists</x:v>
      </x:c>
      <x:c r="E146" s="2" t="str">
        <x:v>Include</x:v>
      </x:c>
      <x:c r="F146" s="2" t="str">
        <x:v>Yes</x:v>
      </x:c>
      <x:c r="G146" s="15" t="str">
        <x:v>6/6</x:v>
      </x:c>
      <x:c r="H146" s="18" t="n">
        <x:v>5.33</x:v>
      </x:c>
      <x:c r="I146" s="18" t="n">
        <x:v>5.33</x:v>
      </x:c>
      <x:c r="J146" s="18" t="n">
        <x:v>4.33</x:v>
      </x:c>
      <x:c r="K146" s="18" t="n">
        <x:v>6.33</x:v>
      </x:c>
      <x:c r="L146" s="18" t="n">
        <x:v>5.67</x:v>
      </x:c>
      <x:c r="M146" s="18" t="n">
        <x:v>5</x:v>
      </x:c>
      <x:c r="N146" s="12" t="str">
        <x:v>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x:v>
      </x:c>
      <x:c r="O146" s="12" t="str">
        <x:v>https://www.onetonline.org/link/summary/29-2033.00</x:v>
      </x:c>
      <x:c r="P146" s="12" t="str">
        <x:v>Health technical roles named by NSCG, including dental hygiene, laboratory, medical records and health information jobs.</x:v>
      </x:c>
    </x:row>
    <x:row r="147" ht="63" customHeight="1">
      <x:c r="A147" s="15" t="str">
        <x:v>611130</x:v>
      </x:c>
      <x:c r="B147" s="12" t="str">
        <x:v>Health technologists and technicians (e.g., dental hygienists, health record technologists/technicians, licensed practical nurses, medical or laboratory technicians, radiological technicians)</x:v>
      </x:c>
      <x:c r="C147" s="35" t="str">
        <x:v>29-2034.00</x:v>
      </x:c>
      <x:c r="D147" s="12" t="str">
        <x:v>Radiologic Technologists and Technicians</x:v>
      </x:c>
      <x:c r="E147" s="2" t="str">
        <x:v>Include</x:v>
      </x:c>
      <x:c r="F147" s="2" t="str">
        <x:v>Yes</x:v>
      </x:c>
      <x:c r="G147" s="15" t="str">
        <x:v>6/6</x:v>
      </x:c>
      <x:c r="H147" s="18" t="n">
        <x:v>4.17</x:v>
      </x:c>
      <x:c r="I147" s="18" t="n">
        <x:v>4.25</x:v>
      </x:c>
      <x:c r="J147" s="18" t="n">
        <x:v>3.5</x:v>
      </x:c>
      <x:c r="K147" s="18" t="n">
        <x:v>5.67</x:v>
      </x:c>
      <x:c r="L147" s="18" t="n">
        <x:v>5.5</x:v>
      </x:c>
      <x:c r="M147" s="18" t="n">
        <x:v>4.67</x:v>
      </x:c>
      <x:c r="N147" s="12" t="str">
        <x:v>Take x-rays and CAT scans or administer nonradioactive materials into patient's bloodstream for diagnostic or research purposes. Includes radiologic technologists and technicians who specialize in other scanning modalities.</x:v>
      </x:c>
      <x:c r="O147" s="12" t="str">
        <x:v>https://www.onetonline.org/link/summary/29-2034.00</x:v>
      </x:c>
      <x:c r="P147" s="12" t="str">
        <x:v>Health technical roles named by NSCG, including dental hygiene, laboratory, medical records and health information jobs.</x:v>
      </x:c>
    </x:row>
    <x:row r="148" ht="63" customHeight="1">
      <x:c r="A148" s="15" t="str">
        <x:v>611130</x:v>
      </x:c>
      <x:c r="B148" s="12" t="str">
        <x:v>Health technologists and technicians (e.g., dental hygienists, health record technologists/technicians, licensed practical nurses, medical or laboratory technicians, radiological technicians)</x:v>
      </x:c>
      <x:c r="C148" s="35" t="str">
        <x:v>29-2035.00</x:v>
      </x:c>
      <x:c r="D148" s="12" t="str">
        <x:v>Magnetic Resonance Imaging Technologists</x:v>
      </x:c>
      <x:c r="E148" s="2" t="str">
        <x:v>Include</x:v>
      </x:c>
      <x:c r="F148" s="2" t="str">
        <x:v>Yes</x:v>
      </x:c>
      <x:c r="G148" s="15" t="str">
        <x:v>6/6</x:v>
      </x:c>
      <x:c r="H148" s="18" t="n">
        <x:v>4.67</x:v>
      </x:c>
      <x:c r="I148" s="18" t="n">
        <x:v>4.5</x:v>
      </x:c>
      <x:c r="J148" s="18" t="n">
        <x:v>3.33</x:v>
      </x:c>
      <x:c r="K148" s="18" t="n">
        <x:v>3.67</x:v>
      </x:c>
      <x:c r="L148" s="18" t="n">
        <x:v>4.33</x:v>
      </x:c>
      <x:c r="M148" s="18" t="n">
        <x:v>3</x:v>
      </x:c>
      <x:c r="N148" s="12" t="str">
        <x:v>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x:v>
      </x:c>
      <x:c r="O148" s="12" t="str">
        <x:v>https://www.onetonline.org/link/summary/29-2035.00</x:v>
      </x:c>
      <x:c r="P148" s="12" t="str">
        <x:v>Health technical roles named by NSCG, including dental hygiene, laboratory, medical records and health information jobs.</x:v>
      </x:c>
    </x:row>
    <x:row r="149" ht="63" customHeight="1">
      <x:c r="A149" s="15" t="str">
        <x:v>611130</x:v>
      </x:c>
      <x:c r="B149" s="12" t="str">
        <x:v>Health technologists and technicians (e.g., dental hygienists, health record technologists/technicians, licensed practical nurses, medical or laboratory technicians, radiological technicians)</x:v>
      </x:c>
      <x:c r="C149" s="35" t="str">
        <x:v>29-2036.00</x:v>
      </x:c>
      <x:c r="D149" s="12" t="str">
        <x:v>Medical Dosimetrists</x:v>
      </x:c>
      <x:c r="E149" s="2" t="str">
        <x:v>Exclude (no Work Values)</x:v>
      </x:c>
      <x:c r="F149" s="2" t="str">
        <x:v>Yes</x:v>
      </x:c>
      <x:c r="G149" s="15" t="str">
        <x:v>0/6</x:v>
      </x:c>
      <x:c r="H149" s="18"/>
      <x:c r="I149" s="18"/>
      <x:c r="J149" s="18"/>
      <x:c r="K149" s="18"/>
      <x:c r="L149" s="18"/>
      <x:c r="M149" s="18"/>
      <x:c r="N149" s="12" t="str">
        <x:v>Generate radiation treatment plans, develop radiation dose calculations, communicate and supervise the treatment plan implementation, and consult with members of radiation oncology team.</x:v>
      </x:c>
      <x:c r="O149" s="12" t="str">
        <x:v>https://www.onetonline.org/link/summary/29-2036.00</x:v>
      </x:c>
      <x:c r="P149" s="12" t="str">
        <x:v>Health technical roles named by NSCG, including dental hygiene, laboratory, medical records and health information jobs.</x:v>
      </x:c>
    </x:row>
    <x:row r="150" ht="63" customHeight="1">
      <x:c r="A150" s="15" t="str">
        <x:v>611130</x:v>
      </x:c>
      <x:c r="B150" s="12" t="str">
        <x:v>Health technologists and technicians (e.g., dental hygienists, health record technologists/technicians, licensed practical nurses, medical or laboratory technicians, radiological technicians)</x:v>
      </x:c>
      <x:c r="C150" s="35" t="str">
        <x:v>29-2042.00</x:v>
      </x:c>
      <x:c r="D150" s="12" t="str">
        <x:v>Emergency Medical Technicians</x:v>
      </x:c>
      <x:c r="E150" s="2" t="str">
        <x:v>Exclude (no Work Values)</x:v>
      </x:c>
      <x:c r="F150" s="2" t="str">
        <x:v>Yes</x:v>
      </x:c>
      <x:c r="G150" s="15" t="str">
        <x:v>0/6</x:v>
      </x:c>
      <x:c r="H150" s="18"/>
      <x:c r="I150" s="18"/>
      <x:c r="J150" s="18"/>
      <x:c r="K150" s="18"/>
      <x:c r="L150" s="18"/>
      <x:c r="M150" s="18"/>
      <x:c r="N150" s="12" t="str">
        <x:v>Assess injuries and illnesses and administer basic emergency medical care. May transport injured or sick persons to medical facilities.</x:v>
      </x:c>
      <x:c r="O150" s="12" t="str">
        <x:v>https://www.onetonline.org/link/summary/29-2042.00</x:v>
      </x:c>
      <x:c r="P150" s="12" t="str">
        <x:v>Health technical roles named by NSCG, including dental hygiene, laboratory, medical records and health information jobs.</x:v>
      </x:c>
    </x:row>
    <x:row r="151" ht="63" customHeight="1">
      <x:c r="A151" s="15" t="str">
        <x:v>611130</x:v>
      </x:c>
      <x:c r="B151" s="12" t="str">
        <x:v>Health technologists and technicians (e.g., dental hygienists, health record technologists/technicians, licensed practical nurses, medical or laboratory technicians, radiological technicians)</x:v>
      </x:c>
      <x:c r="C151" s="35" t="str">
        <x:v>29-2043.00</x:v>
      </x:c>
      <x:c r="D151" s="12" t="str">
        <x:v>Paramedics</x:v>
      </x:c>
      <x:c r="E151" s="2" t="str">
        <x:v>Exclude (no Work Values)</x:v>
      </x:c>
      <x:c r="F151" s="2" t="str">
        <x:v>Yes</x:v>
      </x:c>
      <x:c r="G151" s="15" t="str">
        <x:v>0/6</x:v>
      </x:c>
      <x:c r="H151" s="18"/>
      <x:c r="I151" s="18"/>
      <x:c r="J151" s="18"/>
      <x:c r="K151" s="18"/>
      <x:c r="L151" s="18"/>
      <x:c r="M151" s="18"/>
      <x:c r="N151" s="12" t="str">
        <x:v>Administer basic or advanced emergency medical care and assess injuries and illnesses. May administer medication intravenously, use equipment such as EKGs, or administer advanced life support to sick or injured individuals.</x:v>
      </x:c>
      <x:c r="O151" s="12" t="str">
        <x:v>https://www.onetonline.org/link/summary/29-2043.00</x:v>
      </x:c>
      <x:c r="P151" s="12" t="str">
        <x:v>Health technical roles named by NSCG, including dental hygiene, laboratory, medical records and health information jobs.</x:v>
      </x:c>
    </x:row>
    <x:row r="152" ht="63" customHeight="1">
      <x:c r="A152" s="15" t="str">
        <x:v>611130</x:v>
      </x:c>
      <x:c r="B152" s="12" t="str">
        <x:v>Health technologists and technicians (e.g., dental hygienists, health record technologists/technicians, licensed practical nurses, medical or laboratory technicians, radiological technicians)</x:v>
      </x:c>
      <x:c r="C152" s="35" t="str">
        <x:v>29-2051.00</x:v>
      </x:c>
      <x:c r="D152" s="12" t="str">
        <x:v>Dietetic Technicians</x:v>
      </x:c>
      <x:c r="E152" s="2" t="str">
        <x:v>Include</x:v>
      </x:c>
      <x:c r="F152" s="2" t="str">
        <x:v>Yes</x:v>
      </x:c>
      <x:c r="G152" s="15" t="str">
        <x:v>6/6</x:v>
      </x:c>
      <x:c r="H152" s="18" t="n">
        <x:v>2.67</x:v>
      </x:c>
      <x:c r="I152" s="18" t="n">
        <x:v>2.83</x:v>
      </x:c>
      <x:c r="J152" s="18" t="n">
        <x:v>2.33</x:v>
      </x:c>
      <x:c r="K152" s="18" t="n">
        <x:v>5.33</x:v>
      </x:c>
      <x:c r="L152" s="18" t="n">
        <x:v>5.33</x:v>
      </x:c>
      <x:c r="M152" s="18" t="n">
        <x:v>3</x:v>
      </x:c>
      <x:c r="N152" s="12" t="str">
        <x:v>Assist in the provision of food service and nutritional programs, under the supervision of a dietitian. May plan and produce meals based on established guidelines, teach principles of food and nutrition, or counsel individuals.</x:v>
      </x:c>
      <x:c r="O152" s="12" t="str">
        <x:v>https://www.onetonline.org/link/summary/29-2051.00</x:v>
      </x:c>
      <x:c r="P152" s="12" t="str">
        <x:v>Health technical roles named by NSCG, including dental hygiene, laboratory, medical records and health information jobs.</x:v>
      </x:c>
    </x:row>
    <x:row r="153" ht="63" customHeight="1">
      <x:c r="A153" s="15" t="str">
        <x:v>611130</x:v>
      </x:c>
      <x:c r="B153" s="12" t="str">
        <x:v>Health technologists and technicians (e.g., dental hygienists, health record technologists/technicians, licensed practical nurses, medical or laboratory technicians, radiological technicians)</x:v>
      </x:c>
      <x:c r="C153" s="35" t="str">
        <x:v>29-2052.00</x:v>
      </x:c>
      <x:c r="D153" s="12" t="str">
        <x:v>Pharmacy Technicians</x:v>
      </x:c>
      <x:c r="E153" s="2" t="str">
        <x:v>Include</x:v>
      </x:c>
      <x:c r="F153" s="2" t="str">
        <x:v>Yes</x:v>
      </x:c>
      <x:c r="G153" s="15" t="str">
        <x:v>6/6</x:v>
      </x:c>
      <x:c r="H153" s="18" t="n">
        <x:v>3</x:v>
      </x:c>
      <x:c r="I153" s="18" t="n">
        <x:v>2.83</x:v>
      </x:c>
      <x:c r="J153" s="18" t="n">
        <x:v>3</x:v>
      </x:c>
      <x:c r="K153" s="18" t="n">
        <x:v>5.33</x:v>
      </x:c>
      <x:c r="L153" s="18" t="n">
        <x:v>5</x:v>
      </x:c>
      <x:c r="M153" s="18" t="n">
        <x:v>3</x:v>
      </x:c>
      <x:c r="N153" s="12" t="str">
        <x:v>Prepare medications under the direction of a pharmacist. May measure, mix, count out, label, and record amounts and dosages of medications according to prescription orders.</x:v>
      </x:c>
      <x:c r="O153" s="12" t="str">
        <x:v>https://www.onetonline.org/link/summary/29-2052.00</x:v>
      </x:c>
      <x:c r="P153" s="12" t="str">
        <x:v>Health technical roles named by NSCG, including dental hygiene, laboratory, medical records and health information jobs.</x:v>
      </x:c>
    </x:row>
    <x:row r="154" ht="63" customHeight="1">
      <x:c r="A154" s="15" t="str">
        <x:v>611130</x:v>
      </x:c>
      <x:c r="B154" s="12" t="str">
        <x:v>Health technologists and technicians (e.g., dental hygienists, health record technologists/technicians, licensed practical nurses, medical or laboratory technicians, radiological technicians)</x:v>
      </x:c>
      <x:c r="C154" s="35" t="str">
        <x:v>29-2053.00</x:v>
      </x:c>
      <x:c r="D154" s="12" t="str">
        <x:v>Psychiatric Technicians</x:v>
      </x:c>
      <x:c r="E154" s="2" t="str">
        <x:v>Include</x:v>
      </x:c>
      <x:c r="F154" s="2" t="str">
        <x:v>Yes</x:v>
      </x:c>
      <x:c r="G154" s="15" t="str">
        <x:v>6/6</x:v>
      </x:c>
      <x:c r="H154" s="18" t="n">
        <x:v>3.67</x:v>
      </x:c>
      <x:c r="I154" s="18" t="n">
        <x:v>4</x:v>
      </x:c>
      <x:c r="J154" s="18" t="n">
        <x:v>3</x:v>
      </x:c>
      <x:c r="K154" s="18" t="n">
        <x:v>6</x:v>
      </x:c>
      <x:c r="L154" s="18" t="n">
        <x:v>5.33</x:v>
      </x:c>
      <x:c r="M154" s="18" t="n">
        <x:v>4</x:v>
      </x:c>
      <x:c r="N154" s="12" t="str">
        <x:v>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x:v>
      </x:c>
      <x:c r="O154" s="12" t="str">
        <x:v>https://www.onetonline.org/link/summary/29-2053.00</x:v>
      </x:c>
      <x:c r="P154" s="12" t="str">
        <x:v>Health technical roles named by NSCG, including dental hygiene, laboratory, medical records and health information jobs.</x:v>
      </x:c>
    </x:row>
    <x:row r="155" ht="63" customHeight="1">
      <x:c r="A155" s="15" t="str">
        <x:v>611130</x:v>
      </x:c>
      <x:c r="B155" s="12" t="str">
        <x:v>Health technologists and technicians (e.g., dental hygienists, health record technologists/technicians, licensed practical nurses, medical or laboratory technicians, radiological technicians)</x:v>
      </x:c>
      <x:c r="C155" s="35" t="str">
        <x:v>29-2055.00</x:v>
      </x:c>
      <x:c r="D155" s="12" t="str">
        <x:v>Surgical Technologists</x:v>
      </x:c>
      <x:c r="E155" s="2" t="str">
        <x:v>Include</x:v>
      </x:c>
      <x:c r="F155" s="2" t="str">
        <x:v>Yes</x:v>
      </x:c>
      <x:c r="G155" s="15" t="str">
        <x:v>6/6</x:v>
      </x:c>
      <x:c r="H155" s="18" t="n">
        <x:v>4.67</x:v>
      </x:c>
      <x:c r="I155" s="18" t="n">
        <x:v>4.33</x:v>
      </x:c>
      <x:c r="J155" s="18" t="n">
        <x:v>4</x:v>
      </x:c>
      <x:c r="K155" s="18" t="n">
        <x:v>6</x:v>
      </x:c>
      <x:c r="L155" s="18" t="n">
        <x:v>6</x:v>
      </x:c>
      <x:c r="M155" s="18" t="n">
        <x:v>3.67</x:v>
      </x:c>
      <x:c r="N155" s="12" t="str">
        <x:v>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x:v>
      </x:c>
      <x:c r="O155" s="12" t="str">
        <x:v>https://www.onetonline.org/link/summary/29-2055.00</x:v>
      </x:c>
      <x:c r="P155" s="12" t="str">
        <x:v>Health technical roles named by NSCG, including dental hygiene, laboratory, medical records and health information jobs.</x:v>
      </x:c>
    </x:row>
    <x:row r="156" ht="63" customHeight="1">
      <x:c r="A156" s="15" t="str">
        <x:v>611130</x:v>
      </x:c>
      <x:c r="B156" s="12" t="str">
        <x:v>Health technologists and technicians (e.g., dental hygienists, health record technologists/technicians, licensed practical nurses, medical or laboratory technicians, radiological technicians)</x:v>
      </x:c>
      <x:c r="C156" s="35" t="str">
        <x:v>29-2056.00</x:v>
      </x:c>
      <x:c r="D156" s="12" t="str">
        <x:v>Veterinary Technologists and Technicians</x:v>
      </x:c>
      <x:c r="E156" s="2" t="str">
        <x:v>Include</x:v>
      </x:c>
      <x:c r="F156" s="2" t="str">
        <x:v>Yes</x:v>
      </x:c>
      <x:c r="G156" s="15" t="str">
        <x:v>6/6</x:v>
      </x:c>
      <x:c r="H156" s="18" t="n">
        <x:v>3.33</x:v>
      </x:c>
      <x:c r="I156" s="18" t="n">
        <x:v>3.67</x:v>
      </x:c>
      <x:c r="J156" s="18" t="n">
        <x:v>3.67</x:v>
      </x:c>
      <x:c r="K156" s="18" t="n">
        <x:v>5</x:v>
      </x:c>
      <x:c r="L156" s="18" t="n">
        <x:v>4.67</x:v>
      </x:c>
      <x:c r="M156" s="18" t="n">
        <x:v>3.67</x:v>
      </x:c>
      <x:c r="N156" s="12" t="str">
        <x:v>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x:v>
      </x:c>
      <x:c r="O156" s="12" t="str">
        <x:v>https://www.onetonline.org/link/summary/29-2056.00</x:v>
      </x:c>
      <x:c r="P156" s="12" t="str">
        <x:v>Health technical roles named by NSCG, including dental hygiene, laboratory, medical records and health information jobs.</x:v>
      </x:c>
    </x:row>
    <x:row r="157" ht="63" customHeight="1">
      <x:c r="A157" s="15" t="str">
        <x:v>611130</x:v>
      </x:c>
      <x:c r="B157" s="12" t="str">
        <x:v>Health technologists and technicians (e.g., dental hygienists, health record technologists/technicians, licensed practical nurses, medical or laboratory technicians, radiological technicians)</x:v>
      </x:c>
      <x:c r="C157" s="35" t="str">
        <x:v>29-2057.00</x:v>
      </x:c>
      <x:c r="D157" s="12" t="str">
        <x:v>Ophthalmic Medical Technicians</x:v>
      </x:c>
      <x:c r="E157" s="2" t="str">
        <x:v>Include</x:v>
      </x:c>
      <x:c r="F157" s="2" t="str">
        <x:v>Yes</x:v>
      </x:c>
      <x:c r="G157" s="15" t="str">
        <x:v>6/6</x:v>
      </x:c>
      <x:c r="H157" s="18" t="n">
        <x:v>4</x:v>
      </x:c>
      <x:c r="I157" s="18" t="n">
        <x:v>3.5</x:v>
      </x:c>
      <x:c r="J157" s="18" t="n">
        <x:v>3.33</x:v>
      </x:c>
      <x:c r="K157" s="18" t="n">
        <x:v>5</x:v>
      </x:c>
      <x:c r="L157" s="18" t="n">
        <x:v>4.67</x:v>
      </x:c>
      <x:c r="M157" s="18" t="n">
        <x:v>3.33</x:v>
      </x:c>
      <x:c r="N157" s="12" t="str">
        <x:v>Assist ophthalmologists by performing ophthalmic clinical functions. May administer eye exams, administer eye medications, and instruct the patient in care and use of corrective lenses.</x:v>
      </x:c>
      <x:c r="O157" s="12" t="str">
        <x:v>https://www.onetonline.org/link/summary/29-2057.00</x:v>
      </x:c>
      <x:c r="P157" s="12" t="str">
        <x:v>Health technical roles named by NSCG, including dental hygiene, laboratory, medical records and health information jobs.</x:v>
      </x:c>
    </x:row>
    <x:row r="158" ht="63" customHeight="1">
      <x:c r="A158" s="15" t="str">
        <x:v>611130</x:v>
      </x:c>
      <x:c r="B158" s="12" t="str">
        <x:v>Health technologists and technicians (e.g., dental hygienists, health record technologists/technicians, licensed practical nurses, medical or laboratory technicians, radiological technicians)</x:v>
      </x:c>
      <x:c r="C158" s="35" t="str">
        <x:v>29-2061.00</x:v>
      </x:c>
      <x:c r="D158" s="12" t="str">
        <x:v>Licensed Practical and Licensed Vocational Nurses</x:v>
      </x:c>
      <x:c r="E158" s="2" t="str">
        <x:v>Include</x:v>
      </x:c>
      <x:c r="F158" s="2" t="str">
        <x:v>Yes</x:v>
      </x:c>
      <x:c r="G158" s="15" t="str">
        <x:v>6/6</x:v>
      </x:c>
      <x:c r="H158" s="18" t="n">
        <x:v>5.33</x:v>
      </x:c>
      <x:c r="I158" s="18" t="n">
        <x:v>4.33</x:v>
      </x:c>
      <x:c r="J158" s="18" t="n">
        <x:v>4</x:v>
      </x:c>
      <x:c r="K158" s="18" t="n">
        <x:v>6.33</x:v>
      </x:c>
      <x:c r="L158" s="18" t="n">
        <x:v>5.67</x:v>
      </x:c>
      <x:c r="M158" s="18" t="n">
        <x:v>5</x:v>
      </x:c>
      <x:c r="N158" s="12" t="str">
        <x:v>Care for ill, injured, or convalescing patients or persons with disabilities in hospitals, nursing homes, clinics, private homes, group homes, and similar institutions. May work under the supervision of a registered nurse. Licensing required.</x:v>
      </x:c>
      <x:c r="O158" s="12" t="str">
        <x:v>https://www.onetonline.org/link/summary/29-2061.00</x:v>
      </x:c>
      <x:c r="P158" s="12" t="str">
        <x:v>Health technical roles named by NSCG, including dental hygiene, laboratory, medical records and health information jobs.</x:v>
      </x:c>
    </x:row>
    <x:row r="159" ht="63" customHeight="1">
      <x:c r="A159" s="15" t="str">
        <x:v>611130</x:v>
      </x:c>
      <x:c r="B159" s="12" t="str">
        <x:v>Health technologists and technicians (e.g., dental hygienists, health record technologists/technicians, licensed practical nurses, medical or laboratory technicians, radiological technicians)</x:v>
      </x:c>
      <x:c r="C159" s="35" t="str">
        <x:v>29-2072.00</x:v>
      </x:c>
      <x:c r="D159" s="12" t="str">
        <x:v>Medical Records Specialists</x:v>
      </x:c>
      <x:c r="E159" s="2" t="str">
        <x:v>Exclude (no Work Values)</x:v>
      </x:c>
      <x:c r="F159" s="2" t="str">
        <x:v>Yes</x:v>
      </x:c>
      <x:c r="G159" s="15" t="str">
        <x:v>0/6</x:v>
      </x:c>
      <x:c r="H159" s="18"/>
      <x:c r="I159" s="18"/>
      <x:c r="J159" s="18"/>
      <x:c r="K159" s="18"/>
      <x:c r="L159" s="18"/>
      <x:c r="M159" s="18"/>
      <x:c r="N159" s="12" t="str">
        <x:v>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x:v>
      </x:c>
      <x:c r="O159" s="12" t="str">
        <x:v>https://www.onetonline.org/link/summary/29-2072.00</x:v>
      </x:c>
      <x:c r="P159" s="12" t="str">
        <x:v>Health technical roles named by NSCG, including dental hygiene, laboratory, medical records and health information jobs.</x:v>
      </x:c>
    </x:row>
    <x:row r="160" ht="63" customHeight="1">
      <x:c r="A160" s="15" t="str">
        <x:v>611130</x:v>
      </x:c>
      <x:c r="B160" s="12" t="str">
        <x:v>Health technologists and technicians (e.g., dental hygienists, health record technologists/technicians, licensed practical nurses, medical or laboratory technicians, radiological technicians)</x:v>
      </x:c>
      <x:c r="C160" s="35" t="str">
        <x:v>29-2081.00</x:v>
      </x:c>
      <x:c r="D160" s="12" t="str">
        <x:v>Opticians, Dispensing</x:v>
      </x:c>
      <x:c r="E160" s="2" t="str">
        <x:v>Include</x:v>
      </x:c>
      <x:c r="F160" s="2" t="str">
        <x:v>Yes</x:v>
      </x:c>
      <x:c r="G160" s="15" t="str">
        <x:v>6/6</x:v>
      </x:c>
      <x:c r="H160" s="18" t="n">
        <x:v>3.67</x:v>
      </x:c>
      <x:c r="I160" s="18" t="n">
        <x:v>3.83</x:v>
      </x:c>
      <x:c r="J160" s="18" t="n">
        <x:v>3.33</x:v>
      </x:c>
      <x:c r="K160" s="18" t="n">
        <x:v>5</x:v>
      </x:c>
      <x:c r="L160" s="18" t="n">
        <x:v>4.33</x:v>
      </x:c>
      <x:c r="M160" s="18" t="n">
        <x:v>5.33</x:v>
      </x:c>
      <x:c r="N160" s="12" t="str">
        <x:v>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x:v>
      </x:c>
      <x:c r="O160" s="12" t="str">
        <x:v>https://www.onetonline.org/link/summary/29-2081.00</x:v>
      </x:c>
      <x:c r="P160" s="12" t="str">
        <x:v>Health technical roles named by NSCG, including dental hygiene, laboratory, medical records and health information jobs.</x:v>
      </x:c>
    </x:row>
    <x:row r="161" ht="63" customHeight="1">
      <x:c r="A161" s="15" t="str">
        <x:v>611130</x:v>
      </x:c>
      <x:c r="B161" s="12" t="str">
        <x:v>Health technologists and technicians (e.g., dental hygienists, health record technologists/technicians, licensed practical nurses, medical or laboratory technicians, radiological technicians)</x:v>
      </x:c>
      <x:c r="C161" s="35" t="str">
        <x:v>29-2091.00</x:v>
      </x:c>
      <x:c r="D161" s="12" t="str">
        <x:v>Orthotists and Prosthetists</x:v>
      </x:c>
      <x:c r="E161" s="2" t="str">
        <x:v>Include</x:v>
      </x:c>
      <x:c r="F161" s="2" t="str">
        <x:v>Yes</x:v>
      </x:c>
      <x:c r="G161" s="15" t="str">
        <x:v>6/6</x:v>
      </x:c>
      <x:c r="H161" s="18" t="n">
        <x:v>5.67</x:v>
      </x:c>
      <x:c r="I161" s="18" t="n">
        <x:v>5.67</x:v>
      </x:c>
      <x:c r="J161" s="18" t="n">
        <x:v>4.67</x:v>
      </x:c>
      <x:c r="K161" s="18" t="n">
        <x:v>6</x:v>
      </x:c>
      <x:c r="L161" s="18" t="n">
        <x:v>5.33</x:v>
      </x:c>
      <x:c r="M161" s="18" t="n">
        <x:v>6</x:v>
      </x:c>
      <x:c r="N161" s="12" t="str">
        <x:v>Design, measure, fit, and adapt orthopedic braces, appliances or prostheses, such as limbs or facial parts for patients with disabling conditions.</x:v>
      </x:c>
      <x:c r="O161" s="12" t="str">
        <x:v>https://www.onetonline.org/link/summary/29-2091.00</x:v>
      </x:c>
      <x:c r="P161" s="12" t="str">
        <x:v>Health technical roles named by NSCG, including dental hygiene, laboratory, medical records and health information jobs.</x:v>
      </x:c>
    </x:row>
    <x:row r="162" ht="63" customHeight="1">
      <x:c r="A162" s="15" t="str">
        <x:v>611130</x:v>
      </x:c>
      <x:c r="B162" s="12" t="str">
        <x:v>Health technologists and technicians (e.g., dental hygienists, health record technologists/technicians, licensed practical nurses, medical or laboratory technicians, radiological technicians)</x:v>
      </x:c>
      <x:c r="C162" s="35" t="str">
        <x:v>29-2092.00</x:v>
      </x:c>
      <x:c r="D162" s="12" t="str">
        <x:v>Hearing Aid Specialists</x:v>
      </x:c>
      <x:c r="E162" s="2" t="str">
        <x:v>Include</x:v>
      </x:c>
      <x:c r="F162" s="2" t="str">
        <x:v>Yes</x:v>
      </x:c>
      <x:c r="G162" s="15" t="str">
        <x:v>6/6</x:v>
      </x:c>
      <x:c r="H162" s="18" t="n">
        <x:v>4.67</x:v>
      </x:c>
      <x:c r="I162" s="18" t="n">
        <x:v>4.83</x:v>
      </x:c>
      <x:c r="J162" s="18" t="n">
        <x:v>3.67</x:v>
      </x:c>
      <x:c r="K162" s="18" t="n">
        <x:v>5.67</x:v>
      </x:c>
      <x:c r="L162" s="18" t="n">
        <x:v>4.33</x:v>
      </x:c>
      <x:c r="M162" s="18" t="n">
        <x:v>4.67</x:v>
      </x:c>
      <x:c r="N162" s="12" t="str">
        <x:v>Select and fit hearing aids for customers. Administer and interpret tests of hearing. Assess hearing instrument efficacy. Take ear impressions and prepare, design, and modify ear molds.</x:v>
      </x:c>
      <x:c r="O162" s="12" t="str">
        <x:v>https://www.onetonline.org/link/summary/29-2092.00</x:v>
      </x:c>
      <x:c r="P162" s="12" t="str">
        <x:v>Health technical roles named by NSCG, including dental hygiene, laboratory, medical records and health information jobs.</x:v>
      </x:c>
    </x:row>
    <x:row r="163" ht="63" customHeight="1">
      <x:c r="A163" s="15" t="str">
        <x:v>611130</x:v>
      </x:c>
      <x:c r="B163" s="12" t="str">
        <x:v>Health technologists and technicians (e.g., dental hygienists, health record technologists/technicians, licensed practical nurses, medical or laboratory technicians, radiological technicians)</x:v>
      </x:c>
      <x:c r="C163" s="35" t="str">
        <x:v>29-2099.00</x:v>
      </x:c>
      <x:c r="D163" s="12" t="str">
        <x:v>Health Technologists and Technicians, All Other</x:v>
      </x:c>
      <x:c r="E163" s="2" t="str">
        <x:v>Exclude (no Work Values)</x:v>
      </x:c>
      <x:c r="F163" s="2" t="str">
        <x:v>Yes</x:v>
      </x:c>
      <x:c r="G163" s="15" t="str">
        <x:v>0/6</x:v>
      </x:c>
      <x:c r="H163" s="18"/>
      <x:c r="I163" s="18"/>
      <x:c r="J163" s="18"/>
      <x:c r="K163" s="18"/>
      <x:c r="L163" s="18"/>
      <x:c r="M163" s="18"/>
      <x:c r="N163" s="12" t="str">
        <x:v>All health technologists and technicians not listed separately.</x:v>
      </x:c>
      <x:c r="O163" s="12" t="str">
        <x:v>https://www.onetonline.org/link/summary/29-2099.00</x:v>
      </x:c>
      <x:c r="P163" s="12" t="str">
        <x:v>Health technical roles named by NSCG, including dental hygiene, laboratory, medical records and health information jobs.</x:v>
      </x:c>
    </x:row>
    <x:row r="164" ht="63" customHeight="1">
      <x:c r="A164" s="15" t="str">
        <x:v>611130</x:v>
      </x:c>
      <x:c r="B164" s="12" t="str">
        <x:v>Health technologists and technicians (e.g., dental hygienists, health record technologists/technicians, licensed practical nurses, medical or laboratory technicians, radiological technicians)</x:v>
      </x:c>
      <x:c r="C164" s="35" t="str">
        <x:v>29-9021.00</x:v>
      </x:c>
      <x:c r="D164" s="12" t="str">
        <x:v>Health Information Technologists and Medical Registrars</x:v>
      </x:c>
      <x:c r="E164" s="2" t="str">
        <x:v>Exclude (no Work Values)</x:v>
      </x:c>
      <x:c r="F164" s="2" t="str">
        <x:v>Yes</x:v>
      </x:c>
      <x:c r="G164" s="15" t="str">
        <x:v>0/6</x:v>
      </x:c>
      <x:c r="H164" s="18"/>
      <x:c r="I164" s="18"/>
      <x:c r="J164" s="18"/>
      <x:c r="K164" s="18"/>
      <x:c r="L164" s="18"/>
      <x:c r="M164" s="18"/>
      <x:c r="N164" s="12" t="str">
        <x:v>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x:v>
      </x:c>
      <x:c r="O164" s="12" t="str">
        <x:v>https://www.onetonline.org/link/summary/29-9021.00</x:v>
      </x:c>
      <x:c r="P164" s="12" t="str">
        <x:v>Health technical roles named by NSCG, including dental hygiene, laboratory, medical records and health information jobs.</x:v>
      </x:c>
    </x:row>
    <x:row r="165" ht="37.5" customHeight="1">
      <x:c r="A165" s="15" t="str">
        <x:v>611140</x:v>
      </x:c>
      <x:c r="B165" s="12" t="str">
        <x:v>Other health occupations</x:v>
      </x:c>
      <x:c r="C165" s="35" t="str">
        <x:v>19-5011.00</x:v>
      </x:c>
      <x:c r="D165" s="12" t="str">
        <x:v>Occupational Health and Safety Specialists</x:v>
      </x:c>
      <x:c r="E165" s="2" t="str">
        <x:v>Include</x:v>
      </x:c>
      <x:c r="F165" s="2" t="str">
        <x:v>Yes</x:v>
      </x:c>
      <x:c r="G165" s="15" t="str">
        <x:v>6/6</x:v>
      </x:c>
      <x:c r="H165" s="18" t="n">
        <x:v>5</x:v>
      </x:c>
      <x:c r="I165" s="18" t="n">
        <x:v>5.17</x:v>
      </x:c>
      <x:c r="J165" s="18" t="n">
        <x:v>4.67</x:v>
      </x:c>
      <x:c r="K165" s="18" t="n">
        <x:v>4.67</x:v>
      </x:c>
      <x:c r="L165" s="18" t="n">
        <x:v>5.67</x:v>
      </x:c>
      <x:c r="M165" s="18" t="n">
        <x:v>5</x:v>
      </x:c>
      <x:c r="N165" s="12" t="str">
        <x:v>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x:v>
      </x:c>
      <x:c r="O165" s="12" t="str">
        <x:v>https://www.onetonline.org/link/summary/19-5011.00</x:v>
      </x:c>
      <x:c r="P165" s="12" t="str">
        <x:v>Occupational health/safety moved from SOC2010 29-9011/29-9012 to SOC2018 19-5011/19-5012; included in the remaining health group.</x:v>
      </x:c>
    </x:row>
    <x:row r="166" ht="37.5" customHeight="1">
      <x:c r="A166" s="15" t="str">
        <x:v>611140</x:v>
      </x:c>
      <x:c r="B166" s="12" t="str">
        <x:v>Other health occupations</x:v>
      </x:c>
      <x:c r="C166" s="35" t="str">
        <x:v>19-5012.00</x:v>
      </x:c>
      <x:c r="D166" s="12" t="str">
        <x:v>Occupational Health and Safety Technicians</x:v>
      </x:c>
      <x:c r="E166" s="2" t="str">
        <x:v>Include</x:v>
      </x:c>
      <x:c r="F166" s="2" t="str">
        <x:v>Yes</x:v>
      </x:c>
      <x:c r="G166" s="15" t="str">
        <x:v>6/6</x:v>
      </x:c>
      <x:c r="H166" s="18" t="n">
        <x:v>4.33</x:v>
      </x:c>
      <x:c r="I166" s="18" t="n">
        <x:v>4</x:v>
      </x:c>
      <x:c r="J166" s="18" t="n">
        <x:v>3.67</x:v>
      </x:c>
      <x:c r="K166" s="18" t="n">
        <x:v>5.67</x:v>
      </x:c>
      <x:c r="L166" s="18" t="n">
        <x:v>5.33</x:v>
      </x:c>
      <x:c r="M166" s="18" t="n">
        <x:v>4.33</x:v>
      </x:c>
      <x:c r="N166" s="12" t="str">
        <x:v>Collect data on work environments for analysis by occupational health and safety specialists. Implement and conduct evaluation of programs designed to limit chemical, physical, biological, and ergonomic risks to workers.</x:v>
      </x:c>
      <x:c r="O166" s="12" t="str">
        <x:v>https://www.onetonline.org/link/summary/19-5012.00</x:v>
      </x:c>
      <x:c r="P166" s="12" t="str">
        <x:v>Occupational health/safety moved from SOC2010 29-9011/29-9012 to SOC2018 19-5011/19-5012; included in the remaining health group.</x:v>
      </x:c>
    </x:row>
    <x:row r="167" ht="36" customHeight="1">
      <x:c r="A167" s="15" t="str">
        <x:v>611140</x:v>
      </x:c>
      <x:c r="B167" s="12" t="str">
        <x:v>Other health occupations</x:v>
      </x:c>
      <x:c r="C167" s="35" t="str">
        <x:v>29-9091.00</x:v>
      </x:c>
      <x:c r="D167" s="12" t="str">
        <x:v>Athletic Trainers</x:v>
      </x:c>
      <x:c r="E167" s="2" t="str">
        <x:v>Include</x:v>
      </x:c>
      <x:c r="F167" s="2" t="str">
        <x:v>Yes</x:v>
      </x:c>
      <x:c r="G167" s="15" t="str">
        <x:v>6/6</x:v>
      </x:c>
      <x:c r="H167" s="18" t="n">
        <x:v>6</x:v>
      </x:c>
      <x:c r="I167" s="18" t="n">
        <x:v>5.17</x:v>
      </x:c>
      <x:c r="J167" s="18" t="n">
        <x:v>4.33</x:v>
      </x:c>
      <x:c r="K167" s="18" t="n">
        <x:v>6</x:v>
      </x:c>
      <x:c r="L167" s="18" t="n">
        <x:v>4</x:v>
      </x:c>
      <x:c r="M167" s="18" t="n">
        <x:v>5.67</x:v>
      </x:c>
      <x:c r="N167" s="12" t="str">
        <x:v>Evaluate and treat musculoskeletal injuries or illnesses. Provide preventive, therapeutic, emergency, and rehabilitative care.</x:v>
      </x:c>
      <x:c r="O167" s="12" t="str">
        <x:v>https://www.onetonline.org/link/summary/29-9091.00</x:v>
      </x:c>
      <x:c r="P167" s="12" t="str">
        <x:v>SOC29 occupations not assigned to the separate diagnosing/treating, nursing/therapy or technical groups.</x:v>
      </x:c>
    </x:row>
    <x:row r="168" ht="36" customHeight="1">
      <x:c r="A168" s="15" t="str">
        <x:v>611140</x:v>
      </x:c>
      <x:c r="B168" s="12" t="str">
        <x:v>Other health occupations</x:v>
      </x:c>
      <x:c r="C168" s="35" t="str">
        <x:v>29-9092.00</x:v>
      </x:c>
      <x:c r="D168" s="12" t="str">
        <x:v>Genetic Counselors</x:v>
      </x:c>
      <x:c r="E168" s="2" t="str">
        <x:v>Include</x:v>
      </x:c>
      <x:c r="F168" s="2" t="str">
        <x:v>Yes</x:v>
      </x:c>
      <x:c r="G168" s="15" t="str">
        <x:v>6/6</x:v>
      </x:c>
      <x:c r="H168" s="18" t="n">
        <x:v>5</x:v>
      </x:c>
      <x:c r="I168" s="18" t="n">
        <x:v>4.67</x:v>
      </x:c>
      <x:c r="J168" s="18" t="n">
        <x:v>5</x:v>
      </x:c>
      <x:c r="K168" s="18" t="n">
        <x:v>6</x:v>
      </x:c>
      <x:c r="L168" s="18" t="n">
        <x:v>4.33</x:v>
      </x:c>
      <x:c r="M168" s="18" t="n">
        <x:v>4.67</x:v>
      </x:c>
      <x:c r="N168" s="12" t="str">
        <x:v>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x:v>
      </x:c>
      <x:c r="O168" s="12" t="str">
        <x:v>https://www.onetonline.org/link/summary/29-9092.00</x:v>
      </x:c>
      <x:c r="P168" s="12" t="str">
        <x:v>SOC29 occupations not assigned to the separate diagnosing/treating, nursing/therapy or technical groups.</x:v>
      </x:c>
    </x:row>
    <x:row r="169" ht="36" customHeight="1">
      <x:c r="A169" s="15" t="str">
        <x:v>611140</x:v>
      </x:c>
      <x:c r="B169" s="12" t="str">
        <x:v>Other health occupations</x:v>
      </x:c>
      <x:c r="C169" s="35" t="str">
        <x:v>29-9093.00</x:v>
      </x:c>
      <x:c r="D169" s="12" t="str">
        <x:v>Surgical Assistants</x:v>
      </x:c>
      <x:c r="E169" s="2" t="str">
        <x:v>Include</x:v>
      </x:c>
      <x:c r="F169" s="2" t="str">
        <x:v>Yes</x:v>
      </x:c>
      <x:c r="G169" s="15" t="str">
        <x:v>6/6</x:v>
      </x:c>
      <x:c r="H169" s="18" t="n">
        <x:v>4.67</x:v>
      </x:c>
      <x:c r="I169" s="18" t="n">
        <x:v>3.83</x:v>
      </x:c>
      <x:c r="J169" s="18" t="n">
        <x:v>4.33</x:v>
      </x:c>
      <x:c r="K169" s="18" t="n">
        <x:v>6</x:v>
      </x:c>
      <x:c r="L169" s="18" t="n">
        <x:v>4.33</x:v>
      </x:c>
      <x:c r="M169" s="18" t="n">
        <x:v>2.67</x:v>
      </x:c>
      <x:c r="N169" s="12" t="str">
        <x:v>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x:v>
      </x:c>
      <x:c r="O169" s="12" t="str">
        <x:v>https://www.onetonline.org/link/summary/29-9093.00</x:v>
      </x:c>
      <x:c r="P169" s="12" t="str">
        <x:v>SOC29 occupations not assigned to the separate diagnosing/treating, nursing/therapy or technical groups.</x:v>
      </x:c>
    </x:row>
    <x:row r="170" ht="37.5" customHeight="1">
      <x:c r="A170" s="15" t="str">
        <x:v>611140</x:v>
      </x:c>
      <x:c r="B170" s="12" t="str">
        <x:v>Other health occupations</x:v>
      </x:c>
      <x:c r="C170" s="35" t="str">
        <x:v>29-9099.00</x:v>
      </x:c>
      <x:c r="D170" s="12" t="str">
        <x:v>Healthcare Practitioners and Technical Workers, All Other</x:v>
      </x:c>
      <x:c r="E170" s="2" t="str">
        <x:v>Exclude (no Work Values)</x:v>
      </x:c>
      <x:c r="F170" s="2" t="str">
        <x:v>Yes</x:v>
      </x:c>
      <x:c r="G170" s="15" t="str">
        <x:v>0/6</x:v>
      </x:c>
      <x:c r="H170" s="18"/>
      <x:c r="I170" s="18"/>
      <x:c r="J170" s="18"/>
      <x:c r="K170" s="18"/>
      <x:c r="L170" s="18"/>
      <x:c r="M170" s="18"/>
      <x:c r="N170" s="12" t="str">
        <x:v>All healthcare practitioners and technical workers not listed separately.</x:v>
      </x:c>
      <x:c r="O170" s="12" t="str">
        <x:v>https://www.onetonline.org/link/summary/29-9099.00</x:v>
      </x:c>
      <x:c r="P170" s="12" t="str">
        <x:v>Remaining SOC29 health occupation; no Work Values.</x:v>
      </x:c>
    </x:row>
    <x:row r="171" ht="36" customHeight="1">
      <x:c r="A171" s="15" t="str">
        <x:v>611140</x:v>
      </x:c>
      <x:c r="B171" s="12" t="str">
        <x:v>Other health occupations</x:v>
      </x:c>
      <x:c r="C171" s="35" t="str">
        <x:v>31-1121.00</x:v>
      </x:c>
      <x:c r="D171" s="12" t="str">
        <x:v>Home Health Aides</x:v>
      </x:c>
      <x:c r="E171" s="2" t="str">
        <x:v>Include</x:v>
      </x:c>
      <x:c r="F171" s="2" t="str">
        <x:v>Yes</x:v>
      </x:c>
      <x:c r="G171" s="15" t="str">
        <x:v>6/6</x:v>
      </x:c>
      <x:c r="H171" s="18" t="n">
        <x:v>2.33</x:v>
      </x:c>
      <x:c r="I171" s="18" t="n">
        <x:v>2.5</x:v>
      </x:c>
      <x:c r="J171" s="18" t="n">
        <x:v>2</x:v>
      </x:c>
      <x:c r="K171" s="18" t="n">
        <x:v>4.33</x:v>
      </x:c>
      <x:c r="L171" s="18" t="n">
        <x:v>4</x:v>
      </x:c>
      <x:c r="M171" s="18" t="n">
        <x:v>2.67</x:v>
      </x:c>
      <x:c r="N171" s="12" t="str">
        <x:v>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x:v>
      </x:c>
      <x:c r="O171" s="12" t="str">
        <x:v>https://www.onetonline.org/link/summary/31-1121.00</x:v>
      </x:c>
      <x:c r="P171" s="12" t="str">
        <x:v>SOC31 healthcare support, outside the separately listed NSCG health groups.</x:v>
      </x:c>
    </x:row>
    <x:row r="172" ht="36" customHeight="1">
      <x:c r="A172" s="15" t="str">
        <x:v>611140</x:v>
      </x:c>
      <x:c r="B172" s="12" t="str">
        <x:v>Other health occupations</x:v>
      </x:c>
      <x:c r="C172" s="35" t="str">
        <x:v>31-1122.00</x:v>
      </x:c>
      <x:c r="D172" s="12" t="str">
        <x:v>Personal Care Aides</x:v>
      </x:c>
      <x:c r="E172" s="2" t="str">
        <x:v>Include</x:v>
      </x:c>
      <x:c r="F172" s="2" t="str">
        <x:v>Yes</x:v>
      </x:c>
      <x:c r="G172" s="15" t="str">
        <x:v>6/6</x:v>
      </x:c>
      <x:c r="H172" s="18" t="n">
        <x:v>4</x:v>
      </x:c>
      <x:c r="I172" s="18" t="n">
        <x:v>3</x:v>
      </x:c>
      <x:c r="J172" s="18" t="n">
        <x:v>2.67</x:v>
      </x:c>
      <x:c r="K172" s="18" t="n">
        <x:v>5.67</x:v>
      </x:c>
      <x:c r="L172" s="18" t="n">
        <x:v>4</x:v>
      </x:c>
      <x:c r="M172" s="18" t="n">
        <x:v>3.33</x:v>
      </x:c>
      <x:c r="N172" s="12" t="str">
        <x:v>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x:v>
      </x:c>
      <x:c r="O172" s="12" t="str">
        <x:v>https://www.onetonline.org/link/summary/31-1122.00</x:v>
      </x:c>
      <x:c r="P172" s="12" t="str">
        <x:v>SOC31 healthcare support, outside the separately listed NSCG health groups.</x:v>
      </x:c>
    </x:row>
    <x:row r="173" ht="36" customHeight="1">
      <x:c r="A173" s="15" t="str">
        <x:v>611140</x:v>
      </x:c>
      <x:c r="B173" s="12" t="str">
        <x:v>Other health occupations</x:v>
      </x:c>
      <x:c r="C173" s="35" t="str">
        <x:v>31-1131.00</x:v>
      </x:c>
      <x:c r="D173" s="12" t="str">
        <x:v>Nursing Assistants</x:v>
      </x:c>
      <x:c r="E173" s="2" t="str">
        <x:v>Include</x:v>
      </x:c>
      <x:c r="F173" s="2" t="str">
        <x:v>Yes</x:v>
      </x:c>
      <x:c r="G173" s="15" t="str">
        <x:v>6/6</x:v>
      </x:c>
      <x:c r="H173" s="18" t="n">
        <x:v>3</x:v>
      </x:c>
      <x:c r="I173" s="18" t="n">
        <x:v>3.17</x:v>
      </x:c>
      <x:c r="J173" s="18" t="n">
        <x:v>2.33</x:v>
      </x:c>
      <x:c r="K173" s="18" t="n">
        <x:v>5.67</x:v>
      </x:c>
      <x:c r="L173" s="18" t="n">
        <x:v>4.67</x:v>
      </x:c>
      <x:c r="M173" s="18" t="n">
        <x:v>2.33</x:v>
      </x:c>
      <x:c r="N173" s="12" t="str">
        <x:v>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x:v>
      </x:c>
      <x:c r="O173" s="12" t="str">
        <x:v>https://www.onetonline.org/link/summary/31-1131.00</x:v>
      </x:c>
      <x:c r="P173" s="12" t="str">
        <x:v>SOC31 healthcare support, outside the separately listed NSCG health groups.</x:v>
      </x:c>
    </x:row>
    <x:row r="174" ht="36" customHeight="1">
      <x:c r="A174" s="15" t="str">
        <x:v>611140</x:v>
      </x:c>
      <x:c r="B174" s="12" t="str">
        <x:v>Other health occupations</x:v>
      </x:c>
      <x:c r="C174" s="35" t="str">
        <x:v>31-1132.00</x:v>
      </x:c>
      <x:c r="D174" s="12" t="str">
        <x:v>Orderlies</x:v>
      </x:c>
      <x:c r="E174" s="2" t="str">
        <x:v>Include</x:v>
      </x:c>
      <x:c r="F174" s="2" t="str">
        <x:v>Yes</x:v>
      </x:c>
      <x:c r="G174" s="15" t="str">
        <x:v>6/6</x:v>
      </x:c>
      <x:c r="H174" s="18" t="n">
        <x:v>2.33</x:v>
      </x:c>
      <x:c r="I174" s="18" t="n">
        <x:v>2.83</x:v>
      </x:c>
      <x:c r="J174" s="18" t="n">
        <x:v>2</x:v>
      </x:c>
      <x:c r="K174" s="18" t="n">
        <x:v>4.33</x:v>
      </x:c>
      <x:c r="L174" s="18" t="n">
        <x:v>4.67</x:v>
      </x:c>
      <x:c r="M174" s="18" t="n">
        <x:v>2</x:v>
      </x:c>
      <x:c r="N174" s="12" t="str">
        <x:v>Transport patients to areas such as operating rooms or x-ray rooms using wheelchairs, stretchers, or moveable beds. May maintain stocks of supplies or clean and transport equipment. Psychiatric orderlies are included in Psychiatric Aides.</x:v>
      </x:c>
      <x:c r="O174" s="12" t="str">
        <x:v>https://www.onetonline.org/link/summary/31-1132.00</x:v>
      </x:c>
      <x:c r="P174" s="12" t="str">
        <x:v>SOC31 healthcare support, outside the separately listed NSCG health groups.</x:v>
      </x:c>
    </x:row>
    <x:row r="175" ht="36" customHeight="1">
      <x:c r="A175" s="15" t="str">
        <x:v>611140</x:v>
      </x:c>
      <x:c r="B175" s="12" t="str">
        <x:v>Other health occupations</x:v>
      </x:c>
      <x:c r="C175" s="35" t="str">
        <x:v>31-1133.00</x:v>
      </x:c>
      <x:c r="D175" s="12" t="str">
        <x:v>Psychiatric Aides</x:v>
      </x:c>
      <x:c r="E175" s="2" t="str">
        <x:v>Include</x:v>
      </x:c>
      <x:c r="F175" s="2" t="str">
        <x:v>Yes</x:v>
      </x:c>
      <x:c r="G175" s="15" t="str">
        <x:v>6/6</x:v>
      </x:c>
      <x:c r="H175" s="18" t="n">
        <x:v>4</x:v>
      </x:c>
      <x:c r="I175" s="18" t="n">
        <x:v>4</x:v>
      </x:c>
      <x:c r="J175" s="18" t="n">
        <x:v>3</x:v>
      </x:c>
      <x:c r="K175" s="18" t="n">
        <x:v>6</x:v>
      </x:c>
      <x:c r="L175" s="18" t="n">
        <x:v>5.33</x:v>
      </x:c>
      <x:c r="M175" s="18" t="n">
        <x:v>5</x:v>
      </x:c>
      <x:c r="N175" s="12" t="str">
        <x:v>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x:v>
      </x:c>
      <x:c r="O175" s="12" t="str">
        <x:v>https://www.onetonline.org/link/summary/31-1133.00</x:v>
      </x:c>
      <x:c r="P175" s="12" t="str">
        <x:v>SOC31 healthcare support, outside the separately listed NSCG health groups.</x:v>
      </x:c>
    </x:row>
    <x:row r="176" ht="36" customHeight="1">
      <x:c r="A176" s="15" t="str">
        <x:v>611140</x:v>
      </x:c>
      <x:c r="B176" s="12" t="str">
        <x:v>Other health occupations</x:v>
      </x:c>
      <x:c r="C176" s="35" t="str">
        <x:v>31-2011.00</x:v>
      </x:c>
      <x:c r="D176" s="12" t="str">
        <x:v>Occupational Therapy Assistants</x:v>
      </x:c>
      <x:c r="E176" s="2" t="str">
        <x:v>Include</x:v>
      </x:c>
      <x:c r="F176" s="2" t="str">
        <x:v>Yes</x:v>
      </x:c>
      <x:c r="G176" s="15" t="str">
        <x:v>6/6</x:v>
      </x:c>
      <x:c r="H176" s="18" t="n">
        <x:v>5</x:v>
      </x:c>
      <x:c r="I176" s="18" t="n">
        <x:v>4.83</x:v>
      </x:c>
      <x:c r="J176" s="18" t="n">
        <x:v>2.67</x:v>
      </x:c>
      <x:c r="K176" s="18" t="n">
        <x:v>6</x:v>
      </x:c>
      <x:c r="L176" s="18" t="n">
        <x:v>4.67</x:v>
      </x:c>
      <x:c r="M176" s="18" t="n">
        <x:v>4.33</x:v>
      </x:c>
      <x:c r="N176" s="12" t="str">
        <x:v>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x:v>
      </x:c>
      <x:c r="O176" s="12" t="str">
        <x:v>https://www.onetonline.org/link/summary/31-2011.00</x:v>
      </x:c>
      <x:c r="P176" s="12" t="str">
        <x:v>SOC31 healthcare support, outside the separately listed NSCG health groups.</x:v>
      </x:c>
    </x:row>
    <x:row r="177" ht="36" customHeight="1">
      <x:c r="A177" s="15" t="str">
        <x:v>611140</x:v>
      </x:c>
      <x:c r="B177" s="12" t="str">
        <x:v>Other health occupations</x:v>
      </x:c>
      <x:c r="C177" s="35" t="str">
        <x:v>31-2012.00</x:v>
      </x:c>
      <x:c r="D177" s="12" t="str">
        <x:v>Occupational Therapy Aides</x:v>
      </x:c>
      <x:c r="E177" s="2" t="str">
        <x:v>Include</x:v>
      </x:c>
      <x:c r="F177" s="2" t="str">
        <x:v>Yes</x:v>
      </x:c>
      <x:c r="G177" s="15" t="str">
        <x:v>6/6</x:v>
      </x:c>
      <x:c r="H177" s="18" t="n">
        <x:v>4.67</x:v>
      </x:c>
      <x:c r="I177" s="18" t="n">
        <x:v>3.83</x:v>
      </x:c>
      <x:c r="J177" s="18" t="n">
        <x:v>2.67</x:v>
      </x:c>
      <x:c r="K177" s="18" t="n">
        <x:v>5</x:v>
      </x:c>
      <x:c r="L177" s="18" t="n">
        <x:v>5</x:v>
      </x:c>
      <x:c r="M177" s="18" t="n">
        <x:v>4.67</x:v>
      </x:c>
      <x:c r="N177" s="12" t="str">
        <x:v>Under close supervision of an occupational therapist or occupational therapy assistant, perform only delegated, selected, or routine tasks in specific situations. These duties include preparing patient and treatment room.</x:v>
      </x:c>
      <x:c r="O177" s="12" t="str">
        <x:v>https://www.onetonline.org/link/summary/31-2012.00</x:v>
      </x:c>
      <x:c r="P177" s="12" t="str">
        <x:v>SOC31 healthcare support, outside the separately listed NSCG health groups.</x:v>
      </x:c>
    </x:row>
    <x:row r="178" ht="36" customHeight="1">
      <x:c r="A178" s="15" t="str">
        <x:v>611140</x:v>
      </x:c>
      <x:c r="B178" s="12" t="str">
        <x:v>Other health occupations</x:v>
      </x:c>
      <x:c r="C178" s="35" t="str">
        <x:v>31-2021.00</x:v>
      </x:c>
      <x:c r="D178" s="12" t="str">
        <x:v>Physical Therapist Assistants</x:v>
      </x:c>
      <x:c r="E178" s="2" t="str">
        <x:v>Include</x:v>
      </x:c>
      <x:c r="F178" s="2" t="str">
        <x:v>Yes</x:v>
      </x:c>
      <x:c r="G178" s="15" t="str">
        <x:v>6/6</x:v>
      </x:c>
      <x:c r="H178" s="18" t="n">
        <x:v>4.67</x:v>
      </x:c>
      <x:c r="I178" s="18" t="n">
        <x:v>5</x:v>
      </x:c>
      <x:c r="J178" s="18" t="n">
        <x:v>3.33</x:v>
      </x:c>
      <x:c r="K178" s="18" t="n">
        <x:v>6.67</x:v>
      </x:c>
      <x:c r="L178" s="18" t="n">
        <x:v>5</x:v>
      </x:c>
      <x:c r="M178" s="18" t="n">
        <x:v>4.67</x:v>
      </x:c>
      <x:c r="N178" s="12" t="str">
        <x:v>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x:v>
      </x:c>
      <x:c r="O178" s="12" t="str">
        <x:v>https://www.onetonline.org/link/summary/31-2021.00</x:v>
      </x:c>
      <x:c r="P178" s="12" t="str">
        <x:v>SOC31 healthcare support, outside the separately listed NSCG health groups.</x:v>
      </x:c>
    </x:row>
    <x:row r="179" ht="36" customHeight="1">
      <x:c r="A179" s="15" t="str">
        <x:v>611140</x:v>
      </x:c>
      <x:c r="B179" s="12" t="str">
        <x:v>Other health occupations</x:v>
      </x:c>
      <x:c r="C179" s="35" t="str">
        <x:v>31-2022.00</x:v>
      </x:c>
      <x:c r="D179" s="12" t="str">
        <x:v>Physical Therapist Aides</x:v>
      </x:c>
      <x:c r="E179" s="2" t="str">
        <x:v>Include</x:v>
      </x:c>
      <x:c r="F179" s="2" t="str">
        <x:v>Yes</x:v>
      </x:c>
      <x:c r="G179" s="15" t="str">
        <x:v>6/6</x:v>
      </x:c>
      <x:c r="H179" s="18" t="n">
        <x:v>4.67</x:v>
      </x:c>
      <x:c r="I179" s="18" t="n">
        <x:v>3.5</x:v>
      </x:c>
      <x:c r="J179" s="18" t="n">
        <x:v>3</x:v>
      </x:c>
      <x:c r="K179" s="18" t="n">
        <x:v>6.67</x:v>
      </x:c>
      <x:c r="L179" s="18" t="n">
        <x:v>4.67</x:v>
      </x:c>
      <x:c r="M179" s="18" t="n">
        <x:v>3.67</x:v>
      </x:c>
      <x:c r="N179" s="12" t="str">
        <x:v>Under close supervision of a physical therapist or physical therapy assistant, perform only delegated, selected, or routine tasks in specific situations. These duties include preparing the patient and the treatment area.</x:v>
      </x:c>
      <x:c r="O179" s="12" t="str">
        <x:v>https://www.onetonline.org/link/summary/31-2022.00</x:v>
      </x:c>
      <x:c r="P179" s="12" t="str">
        <x:v>SOC31 healthcare support, outside the separately listed NSCG health groups.</x:v>
      </x:c>
    </x:row>
    <x:row r="180" ht="36" customHeight="1">
      <x:c r="A180" s="15" t="str">
        <x:v>611140</x:v>
      </x:c>
      <x:c r="B180" s="12" t="str">
        <x:v>Other health occupations</x:v>
      </x:c>
      <x:c r="C180" s="35" t="str">
        <x:v>31-9011.00</x:v>
      </x:c>
      <x:c r="D180" s="12" t="str">
        <x:v>Massage Therapists</x:v>
      </x:c>
      <x:c r="E180" s="2" t="str">
        <x:v>Include</x:v>
      </x:c>
      <x:c r="F180" s="2" t="str">
        <x:v>Yes</x:v>
      </x:c>
      <x:c r="G180" s="15" t="str">
        <x:v>6/6</x:v>
      </x:c>
      <x:c r="H180" s="18" t="n">
        <x:v>3.67</x:v>
      </x:c>
      <x:c r="I180" s="18" t="n">
        <x:v>3.5</x:v>
      </x:c>
      <x:c r="J180" s="18" t="n">
        <x:v>3.33</x:v>
      </x:c>
      <x:c r="K180" s="18" t="n">
        <x:v>5.33</x:v>
      </x:c>
      <x:c r="L180" s="18" t="n">
        <x:v>3</x:v>
      </x:c>
      <x:c r="M180" s="18" t="n">
        <x:v>4.67</x:v>
      </x:c>
      <x:c r="N180" s="12" t="str">
        <x:v>Perform therapeutic massages of soft tissues and joints. May assist in the assessment of range of motion and muscle strength, or propose client therapy plans.</x:v>
      </x:c>
      <x:c r="O180" s="12" t="str">
        <x:v>https://www.onetonline.org/link/summary/31-9011.00</x:v>
      </x:c>
      <x:c r="P180" s="12" t="str">
        <x:v>SOC31 healthcare support, outside the separately listed NSCG health groups.</x:v>
      </x:c>
    </x:row>
    <x:row r="181" ht="36" customHeight="1">
      <x:c r="A181" s="15" t="str">
        <x:v>611140</x:v>
      </x:c>
      <x:c r="B181" s="12" t="str">
        <x:v>Other health occupations</x:v>
      </x:c>
      <x:c r="C181" s="35" t="str">
        <x:v>31-9091.00</x:v>
      </x:c>
      <x:c r="D181" s="12" t="str">
        <x:v>Dental Assistants</x:v>
      </x:c>
      <x:c r="E181" s="2" t="str">
        <x:v>Include</x:v>
      </x:c>
      <x:c r="F181" s="2" t="str">
        <x:v>Yes</x:v>
      </x:c>
      <x:c r="G181" s="15" t="str">
        <x:v>6/6</x:v>
      </x:c>
      <x:c r="H181" s="18" t="n">
        <x:v>3.33</x:v>
      </x:c>
      <x:c r="I181" s="18" t="n">
        <x:v>4.17</x:v>
      </x:c>
      <x:c r="J181" s="18" t="n">
        <x:v>3</x:v>
      </x:c>
      <x:c r="K181" s="18" t="n">
        <x:v>6</x:v>
      </x:c>
      <x:c r="L181" s="18" t="n">
        <x:v>5.67</x:v>
      </x:c>
      <x:c r="M181" s="18" t="n">
        <x:v>3.67</x:v>
      </x:c>
      <x:c r="N181" s="12" t="str">
        <x:v>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x:v>
      </x:c>
      <x:c r="O181" s="12" t="str">
        <x:v>https://www.onetonline.org/link/summary/31-9091.00</x:v>
      </x:c>
      <x:c r="P181" s="12" t="str">
        <x:v>SOC31 healthcare support, outside the separately listed NSCG health groups.</x:v>
      </x:c>
    </x:row>
    <x:row r="182" ht="36" customHeight="1">
      <x:c r="A182" s="15" t="str">
        <x:v>611140</x:v>
      </x:c>
      <x:c r="B182" s="12" t="str">
        <x:v>Other health occupations</x:v>
      </x:c>
      <x:c r="C182" s="35" t="str">
        <x:v>31-9092.00</x:v>
      </x:c>
      <x:c r="D182" s="12" t="str">
        <x:v>Medical Assistants</x:v>
      </x:c>
      <x:c r="E182" s="2" t="str">
        <x:v>Include</x:v>
      </x:c>
      <x:c r="F182" s="2" t="str">
        <x:v>Yes</x:v>
      </x:c>
      <x:c r="G182" s="15" t="str">
        <x:v>6/6</x:v>
      </x:c>
      <x:c r="H182" s="18" t="n">
        <x:v>4.67</x:v>
      </x:c>
      <x:c r="I182" s="18" t="n">
        <x:v>4.17</x:v>
      </x:c>
      <x:c r="J182" s="18" t="n">
        <x:v>3.33</x:v>
      </x:c>
      <x:c r="K182" s="18" t="n">
        <x:v>5.67</x:v>
      </x:c>
      <x:c r="L182" s="18" t="n">
        <x:v>5.67</x:v>
      </x:c>
      <x:c r="M182" s="18" t="n">
        <x:v>3.33</x:v>
      </x:c>
      <x:c r="N182" s="12" t="str">
        <x:v>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x:v>
      </x:c>
      <x:c r="O182" s="12" t="str">
        <x:v>https://www.onetonline.org/link/summary/31-9092.00</x:v>
      </x:c>
      <x:c r="P182" s="12" t="str">
        <x:v>SOC31 healthcare support, outside the separately listed NSCG health groups.</x:v>
      </x:c>
    </x:row>
    <x:row r="183" ht="36" customHeight="1">
      <x:c r="A183" s="15" t="str">
        <x:v>611140</x:v>
      </x:c>
      <x:c r="B183" s="12" t="str">
        <x:v>Other health occupations</x:v>
      </x:c>
      <x:c r="C183" s="35" t="str">
        <x:v>31-9093.00</x:v>
      </x:c>
      <x:c r="D183" s="12" t="str">
        <x:v>Medical Equipment Preparers</x:v>
      </x:c>
      <x:c r="E183" s="2" t="str">
        <x:v>Include</x:v>
      </x:c>
      <x:c r="F183" s="2" t="str">
        <x:v>Yes</x:v>
      </x:c>
      <x:c r="G183" s="15" t="str">
        <x:v>6/6</x:v>
      </x:c>
      <x:c r="H183" s="18" t="n">
        <x:v>2.67</x:v>
      </x:c>
      <x:c r="I183" s="18" t="n">
        <x:v>3</x:v>
      </x:c>
      <x:c r="J183" s="18" t="n">
        <x:v>2.67</x:v>
      </x:c>
      <x:c r="K183" s="18" t="n">
        <x:v>5</x:v>
      </x:c>
      <x:c r="L183" s="18" t="n">
        <x:v>5.33</x:v>
      </x:c>
      <x:c r="M183" s="18" t="n">
        <x:v>2.67</x:v>
      </x:c>
      <x:c r="N183" s="12" t="str">
        <x:v>Prepare, sterilize, install, or clean laboratory or healthcare equipment. May perform routine laboratory tasks and operate or inspect equipment.</x:v>
      </x:c>
      <x:c r="O183" s="12" t="str">
        <x:v>https://www.onetonline.org/link/summary/31-9093.00</x:v>
      </x:c>
      <x:c r="P183" s="12" t="str">
        <x:v>SOC31 healthcare support, outside the separately listed NSCG health groups.</x:v>
      </x:c>
    </x:row>
    <x:row r="184" ht="36" customHeight="1">
      <x:c r="A184" s="15" t="str">
        <x:v>611140</x:v>
      </x:c>
      <x:c r="B184" s="12" t="str">
        <x:v>Other health occupations</x:v>
      </x:c>
      <x:c r="C184" s="35" t="str">
        <x:v>31-9094.00</x:v>
      </x:c>
      <x:c r="D184" s="12" t="str">
        <x:v>Medical Transcriptionists</x:v>
      </x:c>
      <x:c r="E184" s="2" t="str">
        <x:v>Include</x:v>
      </x:c>
      <x:c r="F184" s="2" t="str">
        <x:v>Yes</x:v>
      </x:c>
      <x:c r="G184" s="15" t="str">
        <x:v>6/6</x:v>
      </x:c>
      <x:c r="H184" s="18" t="n">
        <x:v>3</x:v>
      </x:c>
      <x:c r="I184" s="18" t="n">
        <x:v>2.67</x:v>
      </x:c>
      <x:c r="J184" s="18" t="n">
        <x:v>2.67</x:v>
      </x:c>
      <x:c r="K184" s="18" t="n">
        <x:v>4</x:v>
      </x:c>
      <x:c r="L184" s="18" t="n">
        <x:v>4.67</x:v>
      </x:c>
      <x:c r="M184" s="18" t="n">
        <x:v>2.67</x:v>
      </x:c>
      <x:c r="N184" s="12" t="str">
        <x:v>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x:v>
      </x:c>
      <x:c r="O184" s="12" t="str">
        <x:v>https://www.onetonline.org/link/summary/31-9094.00</x:v>
      </x:c>
      <x:c r="P184" s="12" t="str">
        <x:v>SOC31 healthcare support, outside the separately listed NSCG health groups.</x:v>
      </x:c>
    </x:row>
    <x:row r="185" ht="36" customHeight="1">
      <x:c r="A185" s="15" t="str">
        <x:v>611140</x:v>
      </x:c>
      <x:c r="B185" s="12" t="str">
        <x:v>Other health occupations</x:v>
      </x:c>
      <x:c r="C185" s="35" t="str">
        <x:v>31-9095.00</x:v>
      </x:c>
      <x:c r="D185" s="12" t="str">
        <x:v>Pharmacy Aides</x:v>
      </x:c>
      <x:c r="E185" s="2" t="str">
        <x:v>Include</x:v>
      </x:c>
      <x:c r="F185" s="2" t="str">
        <x:v>Yes</x:v>
      </x:c>
      <x:c r="G185" s="15" t="str">
        <x:v>6/6</x:v>
      </x:c>
      <x:c r="H185" s="18" t="n">
        <x:v>3</x:v>
      </x:c>
      <x:c r="I185" s="18" t="n">
        <x:v>2.33</x:v>
      </x:c>
      <x:c r="J185" s="18" t="n">
        <x:v>2.67</x:v>
      </x:c>
      <x:c r="K185" s="18" t="n">
        <x:v>5</x:v>
      </x:c>
      <x:c r="L185" s="18" t="n">
        <x:v>5</x:v>
      </x:c>
      <x:c r="M185" s="18" t="n">
        <x:v>3.33</x:v>
      </x:c>
      <x:c r="N185" s="12" t="str">
        <x:v>Record drugs delivered to the pharmacy, store incoming merchandise, and inform the supervisor of stock needs. May operate cash register and accept prescriptions for filling.</x:v>
      </x:c>
      <x:c r="O185" s="12" t="str">
        <x:v>https://www.onetonline.org/link/summary/31-9095.00</x:v>
      </x:c>
      <x:c r="P185" s="12" t="str">
        <x:v>SOC31 healthcare support, outside the separately listed NSCG health groups.</x:v>
      </x:c>
    </x:row>
    <x:row r="186" ht="36" customHeight="1">
      <x:c r="A186" s="15" t="str">
        <x:v>611140</x:v>
      </x:c>
      <x:c r="B186" s="12" t="str">
        <x:v>Other health occupations</x:v>
      </x:c>
      <x:c r="C186" s="35" t="str">
        <x:v>31-9096.00</x:v>
      </x:c>
      <x:c r="D186" s="12" t="str">
        <x:v>Veterinary Assistants and Laboratory Animal Caretakers</x:v>
      </x:c>
      <x:c r="E186" s="2" t="str">
        <x:v>Include</x:v>
      </x:c>
      <x:c r="F186" s="2" t="str">
        <x:v>Yes</x:v>
      </x:c>
      <x:c r="G186" s="15" t="str">
        <x:v>6/6</x:v>
      </x:c>
      <x:c r="H186" s="18" t="n">
        <x:v>2.33</x:v>
      </x:c>
      <x:c r="I186" s="18" t="n">
        <x:v>2.67</x:v>
      </x:c>
      <x:c r="J186" s="18" t="n">
        <x:v>2.33</x:v>
      </x:c>
      <x:c r="K186" s="18" t="n">
        <x:v>5.33</x:v>
      </x:c>
      <x:c r="L186" s="18" t="n">
        <x:v>5</x:v>
      </x:c>
      <x:c r="M186" s="18" t="n">
        <x:v>2.33</x:v>
      </x:c>
      <x:c r="N186" s="12" t="str">
        <x:v>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x:v>
      </x:c>
      <x:c r="O186" s="12" t="str">
        <x:v>https://www.onetonline.org/link/summary/31-9096.00</x:v>
      </x:c>
      <x:c r="P186" s="12" t="str">
        <x:v>SOC31 healthcare support, outside the separately listed NSCG health groups.</x:v>
      </x:c>
    </x:row>
    <x:row r="187" ht="36" customHeight="1">
      <x:c r="A187" s="15" t="str">
        <x:v>611140</x:v>
      </x:c>
      <x:c r="B187" s="12" t="str">
        <x:v>Other health occupations</x:v>
      </x:c>
      <x:c r="C187" s="35" t="str">
        <x:v>31-9097.00</x:v>
      </x:c>
      <x:c r="D187" s="12" t="str">
        <x:v>Phlebotomists</x:v>
      </x:c>
      <x:c r="E187" s="2" t="str">
        <x:v>Include</x:v>
      </x:c>
      <x:c r="F187" s="2" t="str">
        <x:v>Yes</x:v>
      </x:c>
      <x:c r="G187" s="15" t="str">
        <x:v>6/6</x:v>
      </x:c>
      <x:c r="H187" s="18" t="n">
        <x:v>4</x:v>
      </x:c>
      <x:c r="I187" s="18" t="n">
        <x:v>3.5</x:v>
      </x:c>
      <x:c r="J187" s="18" t="n">
        <x:v>3</x:v>
      </x:c>
      <x:c r="K187" s="18" t="n">
        <x:v>4</x:v>
      </x:c>
      <x:c r="L187" s="18" t="n">
        <x:v>4.67</x:v>
      </x:c>
      <x:c r="M187" s="18" t="n">
        <x:v>2.67</x:v>
      </x:c>
      <x:c r="N187" s="12" t="str">
        <x:v>Draw blood for tests, transfusions, donations, or research. May explain the procedure to patients and assist in the recovery of patients with adverse reactions.</x:v>
      </x:c>
      <x:c r="O187" s="12" t="str">
        <x:v>https://www.onetonline.org/link/summary/31-9097.00</x:v>
      </x:c>
      <x:c r="P187" s="12" t="str">
        <x:v>SOC31 healthcare support, outside the separately listed NSCG health groups.</x:v>
      </x:c>
    </x:row>
    <x:row r="188" ht="37.5" customHeight="1">
      <x:c r="A188" s="15" t="str">
        <x:v>611140</x:v>
      </x:c>
      <x:c r="B188" s="12" t="str">
        <x:v>Other health occupations</x:v>
      </x:c>
      <x:c r="C188" s="35" t="str">
        <x:v>31-9099.00</x:v>
      </x:c>
      <x:c r="D188" s="12" t="str">
        <x:v>Healthcare Support Workers, All Other</x:v>
      </x:c>
      <x:c r="E188" s="2" t="str">
        <x:v>Exclude (no Work Values)</x:v>
      </x:c>
      <x:c r="F188" s="2" t="str">
        <x:v>Yes</x:v>
      </x:c>
      <x:c r="G188" s="15" t="str">
        <x:v>0/6</x:v>
      </x:c>
      <x:c r="H188" s="18"/>
      <x:c r="I188" s="18"/>
      <x:c r="J188" s="18"/>
      <x:c r="K188" s="18"/>
      <x:c r="L188" s="18"/>
      <x:c r="M188" s="18"/>
      <x:c r="N188" s="12" t="str">
        <x:v>All healthcare support workers not listed separately.</x:v>
      </x:c>
      <x:c r="O188" s="12" t="str">
        <x:v>https://www.onetonline.org/link/summary/31-9099.00</x:v>
      </x:c>
      <x:c r="P188" s="12" t="str">
        <x:v>SOC31 healthcare support; no Work Values.</x:v>
      </x:c>
    </x:row>
    <x:row r="189" ht="37.5" customHeight="1">
      <x:c r="A189" s="15" t="str">
        <x:v>611150</x:v>
      </x:c>
      <x:c r="B189" s="12" t="str">
        <x:v>Psychologists - Health services (e.g., clinical, counseling, school psychologists)b</x:v>
      </x:c>
      <x:c r="C189" s="35" t="str">
        <x:v>19-3033.00</x:v>
      </x:c>
      <x:c r="D189" s="12" t="str">
        <x:v>Clinical and Counseling Psychologists</x:v>
      </x:c>
      <x:c r="E189" s="2" t="str">
        <x:v>Include</x:v>
      </x:c>
      <x:c r="F189" s="2" t="str">
        <x:v>Yes</x:v>
      </x:c>
      <x:c r="G189" s="15" t="str">
        <x:v>6/6</x:v>
      </x:c>
      <x:c r="H189" s="18" t="n">
        <x:v>5.83</x:v>
      </x:c>
      <x:c r="I189" s="18" t="n">
        <x:v>5.75</x:v>
      </x:c>
      <x:c r="J189" s="18" t="n">
        <x:v>5.33</x:v>
      </x:c>
      <x:c r="K189" s="18" t="n">
        <x:v>6.83</x:v>
      </x:c>
      <x:c r="L189" s="18" t="n">
        <x:v>3.17</x:v>
      </x:c>
      <x:c r="M189" s="18" t="n">
        <x:v>6</x:v>
      </x:c>
      <x:c r="N189" s="12" t="str">
        <x:v>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x:v>
      </x:c>
      <x:c r="O189" s="12" t="str">
        <x:v>https://www.onetonline.org/link/summary/19-3033.00</x:v>
      </x:c>
      <x:c r="P189" s="12" t="str">
        <x:v>Mean of clinical/counseling and school psychologists.</x:v>
      </x:c>
    </x:row>
    <x:row r="190" ht="37.5" customHeight="1">
      <x:c r="A190" s="15" t="str">
        <x:v>611150</x:v>
      </x:c>
      <x:c r="B190" s="12" t="str">
        <x:v>Psychologists - Health services (e.g., clinical, counseling, school psychologists)b</x:v>
      </x:c>
      <x:c r="C190" s="35" t="str">
        <x:v>19-3034.00</x:v>
      </x:c>
      <x:c r="D190" s="12" t="str">
        <x:v>School Psychologists</x:v>
      </x:c>
      <x:c r="E190" s="2" t="str">
        <x:v>Include</x:v>
      </x:c>
      <x:c r="F190" s="2" t="str">
        <x:v>Yes</x:v>
      </x:c>
      <x:c r="G190" s="15" t="str">
        <x:v>6/6</x:v>
      </x:c>
      <x:c r="H190" s="18" t="n">
        <x:v>5.33</x:v>
      </x:c>
      <x:c r="I190" s="18" t="n">
        <x:v>4.83</x:v>
      </x:c>
      <x:c r="J190" s="18" t="n">
        <x:v>5.33</x:v>
      </x:c>
      <x:c r="K190" s="18" t="n">
        <x:v>7</x:v>
      </x:c>
      <x:c r="L190" s="18" t="n">
        <x:v>3.67</x:v>
      </x:c>
      <x:c r="M190" s="18" t="n">
        <x:v>5.67</x:v>
      </x:c>
      <x:c r="N190" s="12" t="str">
        <x:v>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x:v>
      </x:c>
      <x:c r="O190" s="12" t="str">
        <x:v>https://www.onetonline.org/link/summary/19-3034.00</x:v>
      </x:c>
      <x:c r="P190" s="12" t="str">
        <x:v>Mean of clinical/counseling and school psychologists.</x:v>
      </x:c>
    </x:row>
    <x:row r="191" ht="36" customHeight="1">
      <x:c r="A191" s="15" t="str">
        <x:v>612870</x:v>
      </x:c>
      <x:c r="B191" s="12" t="str">
        <x:v>Postsecondary teachers - Health</x:v>
      </x:c>
      <x:c r="C191" s="35" t="str">
        <x:v>25-1071.00</x:v>
      </x:c>
      <x:c r="D191" s="12" t="str">
        <x:v>Health Specialties Teachers, Postsecondary</x:v>
      </x:c>
      <x:c r="E191" s="2" t="str">
        <x:v>Include</x:v>
      </x:c>
      <x:c r="F191" s="2" t="str">
        <x:v>Yes</x:v>
      </x:c>
      <x:c r="G191" s="15" t="str">
        <x:v>6/6</x:v>
      </x:c>
      <x:c r="H191" s="18" t="n">
        <x:v>5.67</x:v>
      </x:c>
      <x:c r="I191" s="18" t="n">
        <x:v>6</x:v>
      </x:c>
      <x:c r="J191" s="18" t="n">
        <x:v>5.67</x:v>
      </x:c>
      <x:c r="K191" s="18" t="n">
        <x:v>5</x:v>
      </x:c>
      <x:c r="L191" s="18" t="n">
        <x:v>3.33</x:v>
      </x:c>
      <x:c r="M191" s="18" t="n">
        <x:v>5.67</x:v>
      </x:c>
      <x:c r="N191" s="12" t="str">
        <x:v>Teach courses in health specialties, in fields such as dentistry, laboratory technology, medicine, pharmacy, public health, therapy, and veterinary medicine.</x:v>
      </x:c>
      <x:c r="O191" s="12" t="str">
        <x:v>https://www.onetonline.org/link/summary/25-1071.00</x:v>
      </x:c>
      <x:c r="P191" s="12" t="str">
        <x:v>Mean of health specialties and nursing teachers.</x:v>
      </x:c>
    </x:row>
    <x:row r="192" ht="36" customHeight="1">
      <x:c r="A192" s="15" t="str">
        <x:v>612870</x:v>
      </x:c>
      <x:c r="B192" s="12" t="str">
        <x:v>Postsecondary teachers - Health</x:v>
      </x:c>
      <x:c r="C192" s="35" t="str">
        <x:v>25-1072.00</x:v>
      </x:c>
      <x:c r="D192" s="12" t="str">
        <x:v>Nursing Instructors and Teachers, Postsecondary</x:v>
      </x:c>
      <x:c r="E192" s="2" t="str">
        <x:v>Include</x:v>
      </x:c>
      <x:c r="F192" s="2" t="str">
        <x:v>Yes</x:v>
      </x:c>
      <x:c r="G192" s="15" t="str">
        <x:v>6/6</x:v>
      </x:c>
      <x:c r="H192" s="18" t="n">
        <x:v>4.67</x:v>
      </x:c>
      <x:c r="I192" s="18" t="n">
        <x:v>5.67</x:v>
      </x:c>
      <x:c r="J192" s="18" t="n">
        <x:v>4.67</x:v>
      </x:c>
      <x:c r="K192" s="18" t="n">
        <x:v>6</x:v>
      </x:c>
      <x:c r="L192" s="18" t="n">
        <x:v>4</x:v>
      </x:c>
      <x:c r="M192" s="18" t="n">
        <x:v>5.33</x:v>
      </x:c>
      <x:c r="N192" s="12" t="str">
        <x:v>Demonstrate and teach patient care in classroom and clinical units to nursing students. Includes both teachers primarily engaged in teaching and those who do a combination of teaching and research.</x:v>
      </x:c>
      <x:c r="O192" s="12" t="str">
        <x:v>https://www.onetonline.org/link/summary/25-1072.00</x:v>
      </x:c>
      <x:c r="P192" s="12" t="str">
        <x:v>Mean of health specialties and nursing teachers.</x:v>
      </x:c>
    </x:row>
    <x:row r="193" ht="36" customHeight="1">
      <x:c r="A193" s="15" t="str">
        <x:v>621420</x:v>
      </x:c>
      <x:c r="B193" s="12" t="str">
        <x:v>Computer and information systems managers</x:v>
      </x:c>
      <x:c r="C193" s="35" t="str">
        <x:v>11-3021.00</x:v>
      </x:c>
      <x:c r="D193" s="12" t="str">
        <x:v>Computer and Information Systems Managers</x:v>
      </x:c>
      <x:c r="E193" s="2" t="str">
        <x:v>Include</x:v>
      </x:c>
      <x:c r="F193" s="2" t="str">
        <x:v>Yes</x:v>
      </x:c>
      <x:c r="G193" s="15" t="str">
        <x:v>6/6</x:v>
      </x:c>
      <x:c r="H193" s="18" t="n">
        <x:v>5.33</x:v>
      </x:c>
      <x:c r="I193" s="18" t="n">
        <x:v>6.5</x:v>
      </x:c>
      <x:c r="J193" s="18" t="n">
        <x:v>5.33</x:v>
      </x:c>
      <x:c r="K193" s="18" t="n">
        <x:v>4.33</x:v>
      </x:c>
      <x:c r="L193" s="18" t="n">
        <x:v>5.67</x:v>
      </x:c>
      <x:c r="M193" s="18" t="n">
        <x:v>5</x:v>
      </x:c>
      <x:c r="N193" s="12" t="str">
        <x:v>Plan, direct, or coordinate activities in such fields as electronic data processing, information systems, systems analysis, and computer programming.</x:v>
      </x:c>
      <x:c r="O193" s="12" t="str">
        <x:v>https://www.onetonline.org/link/summary/11-3021.00</x:v>
      </x:c>
      <x:c r="P193" s="12" t="str">
        <x:v>Use the broader management profile; NSCG specifies managers of other managers.</x:v>
      </x:c>
    </x:row>
    <x:row r="194" ht="36" customHeight="1">
      <x:c r="A194" s="15" t="str">
        <x:v>621430</x:v>
      </x:c>
      <x:c r="B194" s="12" t="str">
        <x:v>Engineering managers</x:v>
      </x:c>
      <x:c r="C194" s="35" t="str">
        <x:v>11-9041.00</x:v>
      </x:c>
      <x:c r="D194" s="12" t="str">
        <x:v>Architectural and Engineering Managers</x:v>
      </x:c>
      <x:c r="E194" s="2" t="str">
        <x:v>Include</x:v>
      </x:c>
      <x:c r="F194" s="2" t="str">
        <x:v>Yes</x:v>
      </x:c>
      <x:c r="G194" s="15" t="str">
        <x:v>6/6</x:v>
      </x:c>
      <x:c r="H194" s="18" t="n">
        <x:v>6</x:v>
      </x:c>
      <x:c r="I194" s="18" t="n">
        <x:v>6</x:v>
      </x:c>
      <x:c r="J194" s="18" t="n">
        <x:v>5.33</x:v>
      </x:c>
      <x:c r="K194" s="18" t="n">
        <x:v>4</x:v>
      </x:c>
      <x:c r="L194" s="18" t="n">
        <x:v>5</x:v>
      </x:c>
      <x:c r="M194" s="18" t="n">
        <x:v>6</x:v>
      </x:c>
      <x:c r="N194" s="12" t="str">
        <x:v>Plan, direct, or coordinate activities in such fields as architecture and engineering or research and development in these fields.</x:v>
      </x:c>
      <x:c r="O194" s="12" t="str">
        <x:v>https://www.onetonline.org/link/summary/11-9041.00</x:v>
      </x:c>
      <x:c r="P194" s="12" t="str">
        <x:v>Use the broader Architectural and Engineering Managers profile.</x:v>
      </x:c>
    </x:row>
    <x:row r="195" ht="36" customHeight="1">
      <x:c r="A195" s="15" t="str">
        <x:v>621440</x:v>
      </x:c>
      <x:c r="B195" s="12" t="str">
        <x:v>Medical and health services managers</x:v>
      </x:c>
      <x:c r="C195" s="35" t="str">
        <x:v>11-9111.00</x:v>
      </x:c>
      <x:c r="D195" s="12" t="str">
        <x:v>Medical and Health Services Managers</x:v>
      </x:c>
      <x:c r="E195" s="2" t="str">
        <x:v>Include</x:v>
      </x:c>
      <x:c r="F195" s="2" t="str">
        <x:v>Yes</x:v>
      </x:c>
      <x:c r="G195" s="15" t="str">
        <x:v>6/6</x:v>
      </x:c>
      <x:c r="H195" s="18" t="n">
        <x:v>5</x:v>
      </x:c>
      <x:c r="I195" s="18" t="n">
        <x:v>6</x:v>
      </x:c>
      <x:c r="J195" s="18" t="n">
        <x:v>4.67</x:v>
      </x:c>
      <x:c r="K195" s="18" t="n">
        <x:v>6</x:v>
      </x:c>
      <x:c r="L195" s="18" t="n">
        <x:v>5.67</x:v>
      </x:c>
      <x:c r="M195" s="18" t="n">
        <x:v>6</x:v>
      </x:c>
      <x:c r="N195" s="12" t="str">
        <x:v>Plan, direct, or coordinate medical and health services in hospitals, clinics, managed care organizations, public health agencies, or similar organizations.</x:v>
      </x:c>
      <x:c r="O195" s="12" t="str">
        <x:v>https://www.onetonline.org/link/summary/11-9111.00</x:v>
      </x:c>
      <x:c r="P195" s="12" t="str">
        <x:v>Use the broader management profile; NSCG specifies managers of other managers.</x:v>
      </x:c>
    </x:row>
    <x:row r="196" ht="36" customHeight="1">
      <x:c r="A196" s="15" t="str">
        <x:v>621450</x:v>
      </x:c>
      <x:c r="B196" s="12" t="str">
        <x:v>Natural sciences managers</x:v>
      </x:c>
      <x:c r="C196" s="35" t="str">
        <x:v>11-9121.00</x:v>
      </x:c>
      <x:c r="D196" s="12" t="str">
        <x:v>Natural Sciences Managers</x:v>
      </x:c>
      <x:c r="E196" s="2" t="str">
        <x:v>Include</x:v>
      </x:c>
      <x:c r="F196" s="2" t="str">
        <x:v>Yes</x:v>
      </x:c>
      <x:c r="G196" s="15" t="str">
        <x:v>6/6</x:v>
      </x:c>
      <x:c r="H196" s="18" t="n">
        <x:v>5.33</x:v>
      </x:c>
      <x:c r="I196" s="18" t="n">
        <x:v>5.83</x:v>
      </x:c>
      <x:c r="J196" s="18" t="n">
        <x:v>5</x:v>
      </x:c>
      <x:c r="K196" s="18" t="n">
        <x:v>3.33</x:v>
      </x:c>
      <x:c r="L196" s="18" t="n">
        <x:v>5.33</x:v>
      </x:c>
      <x:c r="M196" s="18" t="n">
        <x:v>6</x:v>
      </x:c>
      <x:c r="N196" s="12" t="str">
        <x:v>Plan, direct, or coordinate activities in such fields as life sciences, physical sciences, mathematics, statistics, and research and development in these fields.</x:v>
      </x:c>
      <x:c r="O196" s="12" t="str">
        <x:v>https://www.onetonline.org/link/summary/11-9121.00</x:v>
      </x:c>
      <x:c r="P196" s="12" t="str">
        <x:v>Use the rated .00 profile; omit detailed subtypes.</x:v>
      </x:c>
    </x:row>
    <x:row r="197" ht="37.5" customHeight="1">
      <x:c r="A197" s="15" t="str">
        <x:v>632530</x:v>
      </x:c>
      <x:c r="B197" s="12" t="str">
        <x:v>Teachers: Secondary - computer, math, or sciences</x:v>
      </x:c>
      <x:c r="C197" s="35" t="str">
        <x:v>25-2031.00</x:v>
      </x:c>
      <x:c r="D197" s="12" t="str">
        <x:v>Secondary School Teachers, Except Special and Career/Technical Education</x:v>
      </x:c>
      <x:c r="E197" s="2" t="str">
        <x:v>Include</x:v>
      </x:c>
      <x:c r="F197" s="2" t="str">
        <x:v>Yes</x:v>
      </x:c>
      <x:c r="G197" s="15" t="str">
        <x:v>6/6</x:v>
      </x:c>
      <x:c r="H197" s="18" t="n">
        <x:v>5.67</x:v>
      </x:c>
      <x:c r="I197" s="18" t="n">
        <x:v>5.33</x:v>
      </x:c>
      <x:c r="J197" s="18" t="n">
        <x:v>4</x:v>
      </x:c>
      <x:c r="K197" s="18" t="n">
        <x:v>7</x:v>
      </x:c>
      <x:c r="L197" s="18" t="n">
        <x:v>4.67</x:v>
      </x:c>
      <x:c r="M197" s="18" t="n">
        <x:v>5</x:v>
      </x:c>
      <x:c r="N197" s="12" t="str">
        <x:v>Teach one or more subjects to students at the secondary school level.</x:v>
      </x:c>
      <x:c r="O197" s="12" t="str">
        <x:v>https://www.onetonline.org/link/summary/25-2031.00</x:v>
      </x:c>
      <x:c r="P197" s="12" t="str">
        <x:v>Use general secondary-school teaching; possible vocational teaching is a mapping assumption.</x:v>
      </x:c>
    </x:row>
    <x:row r="198" ht="37.5" customHeight="1">
      <x:c r="A198" s="15" t="str">
        <x:v>632540</x:v>
      </x:c>
      <x:c r="B198" s="12" t="str">
        <x:v>Teachers: Secondary - social sciences</x:v>
      </x:c>
      <x:c r="C198" s="35" t="str">
        <x:v>25-2031.00</x:v>
      </x:c>
      <x:c r="D198" s="12" t="str">
        <x:v>Secondary School Teachers, Except Special and Career/Technical Education</x:v>
      </x:c>
      <x:c r="E198" s="2" t="str">
        <x:v>Include</x:v>
      </x:c>
      <x:c r="F198" s="2" t="str">
        <x:v>Yes</x:v>
      </x:c>
      <x:c r="G198" s="15" t="str">
        <x:v>6/6</x:v>
      </x:c>
      <x:c r="H198" s="18" t="n">
        <x:v>5.67</x:v>
      </x:c>
      <x:c r="I198" s="18" t="n">
        <x:v>5.33</x:v>
      </x:c>
      <x:c r="J198" s="18" t="n">
        <x:v>4</x:v>
      </x:c>
      <x:c r="K198" s="18" t="n">
        <x:v>7</x:v>
      </x:c>
      <x:c r="L198" s="18" t="n">
        <x:v>4.67</x:v>
      </x:c>
      <x:c r="M198" s="18" t="n">
        <x:v>5</x:v>
      </x:c>
      <x:c r="N198" s="12" t="str">
        <x:v>Teach one or more subjects to students at the secondary school level.</x:v>
      </x:c>
      <x:c r="O198" s="12" t="str">
        <x:v>https://www.onetonline.org/link/summary/25-2031.00</x:v>
      </x:c>
      <x:c r="P198" s="12" t="str">
        <x:v>General secondary-school teaching includes social sciences; no subject-specific profile is required.</x:v>
      </x:c>
    </x:row>
    <x:row r="199" ht="36" customHeight="1">
      <x:c r="A199" s="15" t="str">
        <x:v>640260</x:v>
      </x:c>
      <x:c r="B199" s="12" t="str">
        <x:v>Technologists and technicians in the biological/life sciences</x:v>
      </x:c>
      <x:c r="C199" s="35" t="str">
        <x:v>19-4012.00</x:v>
      </x:c>
      <x:c r="D199" s="12" t="str">
        <x:v>Agricultural Technicians</x:v>
      </x:c>
      <x:c r="E199" s="2" t="str">
        <x:v>Include</x:v>
      </x:c>
      <x:c r="F199" s="2" t="str">
        <x:v>Yes</x:v>
      </x:c>
      <x:c r="G199" s="15" t="str">
        <x:v>6/6</x:v>
      </x:c>
      <x:c r="H199" s="18" t="n">
        <x:v>3</x:v>
      </x:c>
      <x:c r="I199" s="18" t="n">
        <x:v>3.33</x:v>
      </x:c>
      <x:c r="J199" s="18" t="n">
        <x:v>2.67</x:v>
      </x:c>
      <x:c r="K199" s="18" t="n">
        <x:v>5</x:v>
      </x:c>
      <x:c r="L199" s="18" t="n">
        <x:v>4.67</x:v>
      </x:c>
      <x:c r="M199" s="18" t="n">
        <x:v>3.33</x:v>
      </x:c>
      <x:c r="N199" s="12" t="str">
        <x:v>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x:v>
      </x:c>
      <x:c r="O199" s="12" t="str">
        <x:v>https://www.onetonline.org/link/summary/19-4012.00</x:v>
      </x:c>
      <x:c r="P199" s="12" t="str">
        <x:v>Agricultural, food, biological, and forest/conservation technicians.</x:v>
      </x:c>
    </x:row>
    <x:row r="200" ht="36" customHeight="1">
      <x:c r="A200" s="15" t="str">
        <x:v>640260</x:v>
      </x:c>
      <x:c r="B200" s="12" t="str">
        <x:v>Technologists and technicians in the biological/life sciences</x:v>
      </x:c>
      <x:c r="C200" s="35" t="str">
        <x:v>19-4013.00</x:v>
      </x:c>
      <x:c r="D200" s="12" t="str">
        <x:v>Food Science Technicians</x:v>
      </x:c>
      <x:c r="E200" s="2" t="str">
        <x:v>Include</x:v>
      </x:c>
      <x:c r="F200" s="2" t="str">
        <x:v>Yes</x:v>
      </x:c>
      <x:c r="G200" s="15" t="str">
        <x:v>6/6</x:v>
      </x:c>
      <x:c r="H200" s="18" t="n">
        <x:v>4</x:v>
      </x:c>
      <x:c r="I200" s="18" t="n">
        <x:v>3.33</x:v>
      </x:c>
      <x:c r="J200" s="18" t="n">
        <x:v>3.33</x:v>
      </x:c>
      <x:c r="K200" s="18" t="n">
        <x:v>4.67</x:v>
      </x:c>
      <x:c r="L200" s="18" t="n">
        <x:v>6</x:v>
      </x:c>
      <x:c r="M200" s="18" t="n">
        <x:v>4</x:v>
      </x:c>
      <x:c r="N200" s="12" t="str">
        <x:v>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x:v>
      </x:c>
      <x:c r="O200" s="12" t="str">
        <x:v>https://www.onetonline.org/link/summary/19-4013.00</x:v>
      </x:c>
      <x:c r="P200" s="12" t="str">
        <x:v>Agricultural, food, biological, and forest/conservation technicians.</x:v>
      </x:c>
    </x:row>
    <x:row r="201" ht="36" customHeight="1">
      <x:c r="A201" s="15" t="str">
        <x:v>640260</x:v>
      </x:c>
      <x:c r="B201" s="12" t="str">
        <x:v>Technologists and technicians in the biological/life sciences</x:v>
      </x:c>
      <x:c r="C201" s="35" t="str">
        <x:v>19-4021.00</x:v>
      </x:c>
      <x:c r="D201" s="12" t="str">
        <x:v>Biological Technicians</x:v>
      </x:c>
      <x:c r="E201" s="2" t="str">
        <x:v>Include</x:v>
      </x:c>
      <x:c r="F201" s="2" t="str">
        <x:v>Yes</x:v>
      </x:c>
      <x:c r="G201" s="15" t="str">
        <x:v>6/6</x:v>
      </x:c>
      <x:c r="H201" s="18" t="n">
        <x:v>4.33</x:v>
      </x:c>
      <x:c r="I201" s="18" t="n">
        <x:v>3.83</x:v>
      </x:c>
      <x:c r="J201" s="18" t="n">
        <x:v>3</x:v>
      </x:c>
      <x:c r="K201" s="18" t="n">
        <x:v>3.33</x:v>
      </x:c>
      <x:c r="L201" s="18" t="n">
        <x:v>4.33</x:v>
      </x:c>
      <x:c r="M201" s="18" t="n">
        <x:v>3.67</x:v>
      </x:c>
      <x:c r="N201" s="12" t="str">
        <x:v>Assist biological and medical scientists. Set up, operate, and maintain laboratory instruments and equipment, monitor experiments, collect data and samples, make observations, and calculate and record results. May analyze organic substances, such as blood, food, and drugs.</x:v>
      </x:c>
      <x:c r="O201" s="12" t="str">
        <x:v>https://www.onetonline.org/link/summary/19-4021.00</x:v>
      </x:c>
      <x:c r="P201" s="12" t="str">
        <x:v>Agricultural, food, biological, and forest/conservation technicians.</x:v>
      </x:c>
    </x:row>
    <x:row r="202" ht="36" customHeight="1">
      <x:c r="A202" s="15" t="str">
        <x:v>640260</x:v>
      </x:c>
      <x:c r="B202" s="12" t="str">
        <x:v>Technologists and technicians in the biological/life sciences</x:v>
      </x:c>
      <x:c r="C202" s="35" t="str">
        <x:v>19-4071.00</x:v>
      </x:c>
      <x:c r="D202" s="12" t="str">
        <x:v>Forest and Conservation Technicians</x:v>
      </x:c>
      <x:c r="E202" s="2" t="str">
        <x:v>Include</x:v>
      </x:c>
      <x:c r="F202" s="2" t="str">
        <x:v>Yes</x:v>
      </x:c>
      <x:c r="G202" s="15" t="str">
        <x:v>6/6</x:v>
      </x:c>
      <x:c r="H202" s="18" t="n">
        <x:v>4.33</x:v>
      </x:c>
      <x:c r="I202" s="18" t="n">
        <x:v>4.33</x:v>
      </x:c>
      <x:c r="J202" s="18" t="n">
        <x:v>2.67</x:v>
      </x:c>
      <x:c r="K202" s="18" t="n">
        <x:v>4.33</x:v>
      </x:c>
      <x:c r="L202" s="18" t="n">
        <x:v>4.33</x:v>
      </x:c>
      <x:c r="M202" s="18" t="n">
        <x:v>4.67</x:v>
      </x:c>
      <x:c r="N202" s="12" t="str">
        <x:v>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x:v>
      </x:c>
      <x:c r="O202" s="12" t="str">
        <x:v>https://www.onetonline.org/link/summary/19-4071.00</x:v>
      </x:c>
      <x:c r="P202" s="12" t="str">
        <x:v>Agricultural, food, biological, and forest/conservation technicians.</x:v>
      </x:c>
    </x:row>
    <x:row r="203" ht="36" customHeight="1">
      <x:c r="A203" s="15" t="str">
        <x:v>640530</x:v>
      </x:c>
      <x:c r="B203" s="12" t="str">
        <x:v>Computer programmers (business, scientific, process control)</x:v>
      </x:c>
      <x:c r="C203" s="35" t="str">
        <x:v>15-1251.00</x:v>
      </x:c>
      <x:c r="D203" s="12" t="str">
        <x:v>Computer Programmers</x:v>
      </x:c>
      <x:c r="E203" s="2" t="str">
        <x:v>Include</x:v>
      </x:c>
      <x:c r="F203" s="2" t="str">
        <x:v>Yes</x:v>
      </x:c>
      <x:c r="G203" s="15" t="str">
        <x:v>6/6</x:v>
      </x:c>
      <x:c r="H203" s="18" t="n">
        <x:v>5.67</x:v>
      </x:c>
      <x:c r="I203" s="18" t="n">
        <x:v>5.5</x:v>
      </x:c>
      <x:c r="J203" s="18" t="n">
        <x:v>4.33</x:v>
      </x:c>
      <x:c r="K203" s="18" t="n">
        <x:v>2.33</x:v>
      </x:c>
      <x:c r="L203" s="18" t="n">
        <x:v>5</x:v>
      </x:c>
      <x:c r="M203" s="18" t="n">
        <x:v>5</x:v>
      </x:c>
      <x:c r="N203" s="12" t="str">
        <x:v>Create, modify, and test the code and scripts that allow computer applications to run. Work from specifications drawn up by software and web developers or other individuals. May develop and write computer programs to store, locate, and retrieve specific documents, data, and information.</x:v>
      </x:c>
      <x:c r="O203" s="12" t="str">
        <x:v>https://www.onetonline.org/link/summary/15-1251.00</x:v>
      </x:c>
      <x:c r="P203" s="12" t="str">
        <x:v>Listed programming fields use Computer Programmers.</x:v>
      </x:c>
    </x:row>
    <x:row r="204" ht="37.5" customHeight="1">
      <x:c r="A204" s="15" t="str">
        <x:v>641000</x:v>
      </x:c>
      <x:c r="B204" s="12" t="str">
        <x:v>Electrical, electronic, industrial, and mechanical technicians</x:v>
      </x:c>
      <x:c r="C204" s="35" t="str">
        <x:v>17-3023.00</x:v>
      </x:c>
      <x:c r="D204" s="12" t="str">
        <x:v>Electrical and Electronic Engineering Technologists and Technicians</x:v>
      </x:c>
      <x:c r="E204" s="2" t="str">
        <x:v>Include</x:v>
      </x:c>
      <x:c r="F204" s="2" t="str">
        <x:v>Yes</x:v>
      </x:c>
      <x:c r="G204" s="15" t="str">
        <x:v>6/6</x:v>
      </x:c>
      <x:c r="H204" s="18" t="n">
        <x:v>4.33</x:v>
      </x:c>
      <x:c r="I204" s="18" t="n">
        <x:v>4.54</x:v>
      </x:c>
      <x:c r="J204" s="18" t="n">
        <x:v>3.92</x:v>
      </x:c>
      <x:c r="K204" s="18" t="n">
        <x:v>4.08</x:v>
      </x:c>
      <x:c r="L204" s="18" t="n">
        <x:v>5.08</x:v>
      </x:c>
      <x:c r="M204" s="18" t="n">
        <x:v>4.33</x:v>
      </x:c>
      <x:c r="N204" s="12" t="str">
        <x:v>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x:v>
      </x:c>
      <x:c r="O204" s="12" t="str">
        <x:v>https://www.onetonline.org/link/summary/17-3023.00</x:v>
      </x:c>
      <x:c r="P204" s="12" t="str">
        <x:v>Electrical/electronic, industrial, mechanical and electromechanical technicians.</x:v>
      </x:c>
    </x:row>
    <x:row r="205" ht="37.5" customHeight="1">
      <x:c r="A205" s="15" t="str">
        <x:v>641000</x:v>
      </x:c>
      <x:c r="B205" s="12" t="str">
        <x:v>Electrical, electronic, industrial, and mechanical technicians</x:v>
      </x:c>
      <x:c r="C205" s="35" t="str">
        <x:v>17-3024.00</x:v>
      </x:c>
      <x:c r="D205" s="12" t="str">
        <x:v>Electro-Mechanical and Mechatronics Technologists and Technicians</x:v>
      </x:c>
      <x:c r="E205" s="2" t="str">
        <x:v>Include</x:v>
      </x:c>
      <x:c r="F205" s="2" t="str">
        <x:v>Yes</x:v>
      </x:c>
      <x:c r="G205" s="15" t="str">
        <x:v>6/6</x:v>
      </x:c>
      <x:c r="H205" s="18" t="n">
        <x:v>3.67</x:v>
      </x:c>
      <x:c r="I205" s="18" t="n">
        <x:v>4</x:v>
      </x:c>
      <x:c r="J205" s="18" t="n">
        <x:v>3.33</x:v>
      </x:c>
      <x:c r="K205" s="18" t="n">
        <x:v>5.33</x:v>
      </x:c>
      <x:c r="L205" s="18" t="n">
        <x:v>5</x:v>
      </x:c>
      <x:c r="M205" s="18" t="n">
        <x:v>4</x:v>
      </x:c>
      <x:c r="N205" s="12" t="str">
        <x:v>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x:v>
      </x:c>
      <x:c r="O205" s="12" t="str">
        <x:v>https://www.onetonline.org/link/summary/17-3024.00</x:v>
      </x:c>
      <x:c r="P205" s="12" t="str">
        <x:v>Electrical/electronic, industrial, mechanical and electromechanical technicians.</x:v>
      </x:c>
    </x:row>
    <x:row r="206" ht="37.5" customHeight="1">
      <x:c r="A206" s="15" t="str">
        <x:v>641000</x:v>
      </x:c>
      <x:c r="B206" s="12" t="str">
        <x:v>Electrical, electronic, industrial, and mechanical technicians</x:v>
      </x:c>
      <x:c r="C206" s="35" t="str">
        <x:v>17-3026.00</x:v>
      </x:c>
      <x:c r="D206" s="12" t="str">
        <x:v>Industrial Engineering Technologists and Technicians</x:v>
      </x:c>
      <x:c r="E206" s="2" t="str">
        <x:v>Include</x:v>
      </x:c>
      <x:c r="F206" s="2" t="str">
        <x:v>Yes</x:v>
      </x:c>
      <x:c r="G206" s="15" t="str">
        <x:v>6/6</x:v>
      </x:c>
      <x:c r="H206" s="18" t="n">
        <x:v>4.67</x:v>
      </x:c>
      <x:c r="I206" s="18" t="n">
        <x:v>4.17</x:v>
      </x:c>
      <x:c r="J206" s="18" t="n">
        <x:v>4</x:v>
      </x:c>
      <x:c r="K206" s="18" t="n">
        <x:v>4</x:v>
      </x:c>
      <x:c r="L206" s="18" t="n">
        <x:v>5.33</x:v>
      </x:c>
      <x:c r="M206" s="18" t="n">
        <x:v>4.33</x:v>
      </x:c>
      <x:c r="N206" s="12" t="str">
        <x:v>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x:v>
      </x:c>
      <x:c r="O206" s="12" t="str">
        <x:v>https://www.onetonline.org/link/summary/17-3026.00</x:v>
      </x:c>
      <x:c r="P206" s="12" t="str">
        <x:v>Electrical/electronic, industrial, mechanical and electromechanical technicians.</x:v>
      </x:c>
    </x:row>
    <x:row r="207" ht="37.5" customHeight="1">
      <x:c r="A207" s="15" t="str">
        <x:v>641000</x:v>
      </x:c>
      <x:c r="B207" s="12" t="str">
        <x:v>Electrical, electronic, industrial, and mechanical technicians</x:v>
      </x:c>
      <x:c r="C207" s="35" t="str">
        <x:v>17-3027.00</x:v>
      </x:c>
      <x:c r="D207" s="12" t="str">
        <x:v>Mechanical Engineering Technologists and Technicians</x:v>
      </x:c>
      <x:c r="E207" s="2" t="str">
        <x:v>Include</x:v>
      </x:c>
      <x:c r="F207" s="2" t="str">
        <x:v>Yes</x:v>
      </x:c>
      <x:c r="G207" s="15" t="str">
        <x:v>6/6</x:v>
      </x:c>
      <x:c r="H207" s="18" t="n">
        <x:v>3.67</x:v>
      </x:c>
      <x:c r="I207" s="18" t="n">
        <x:v>4.33</x:v>
      </x:c>
      <x:c r="J207" s="18" t="n">
        <x:v>3.67</x:v>
      </x:c>
      <x:c r="K207" s="18" t="n">
        <x:v>4</x:v>
      </x:c>
      <x:c r="L207" s="18" t="n">
        <x:v>5.33</x:v>
      </x:c>
      <x:c r="M207" s="18" t="n">
        <x:v>3.33</x:v>
      </x:c>
      <x:c r="N207" s="12" t="str">
        <x:v>Apply theory and principles of mechanical engineering to modify, develop, test, or adjust machinery and equipment under direction of engineering staff or physical scientists.</x:v>
      </x:c>
      <x:c r="O207" s="12" t="str">
        <x:v>https://www.onetonline.org/link/summary/17-3027.00</x:v>
      </x:c>
      <x:c r="P207" s="12" t="str">
        <x:v>Electrical/electronic, industrial, mechanical and electromechanical technicians.</x:v>
      </x:c>
    </x:row>
    <x:row r="208" ht="37.5" customHeight="1">
      <x:c r="A208" s="15" t="str">
        <x:v>641010</x:v>
      </x:c>
      <x:c r="B208" s="12" t="str">
        <x:v>Drafting occupations, including computer drafting</x:v>
      </x:c>
      <x:c r="C208" s="35" t="str">
        <x:v>17-3011.00</x:v>
      </x:c>
      <x:c r="D208" s="12" t="str">
        <x:v>Architectural and Civil Drafters</x:v>
      </x:c>
      <x:c r="E208" s="2" t="str">
        <x:v>Include</x:v>
      </x:c>
      <x:c r="F208" s="2" t="str">
        <x:v>Yes</x:v>
      </x:c>
      <x:c r="G208" s="15" t="str">
        <x:v>6/6</x:v>
      </x:c>
      <x:c r="H208" s="18" t="n">
        <x:v>3.83</x:v>
      </x:c>
      <x:c r="I208" s="18" t="n">
        <x:v>4.08</x:v>
      </x:c>
      <x:c r="J208" s="18" t="n">
        <x:v>3.83</x:v>
      </x:c>
      <x:c r="K208" s="18" t="n">
        <x:v>3.33</x:v>
      </x:c>
      <x:c r="L208" s="18" t="n">
        <x:v>4.17</x:v>
      </x:c>
      <x:c r="M208" s="18" t="n">
        <x:v>3.5</x:v>
      </x:c>
      <x:c r="N208" s="12" t="str">
        <x:v>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x:v>
      </x:c>
      <x:c r="O208" s="12" t="str">
        <x:v>https://www.onetonline.org/link/summary/17-3011.00</x:v>
      </x:c>
      <x:c r="P208" s="12" t="str">
        <x:v>Architectural/civil, electrical/electronic, mechanical and other drafters.</x:v>
      </x:c>
    </x:row>
    <x:row r="209" ht="37.5" customHeight="1">
      <x:c r="A209" s="15" t="str">
        <x:v>641010</x:v>
      </x:c>
      <x:c r="B209" s="12" t="str">
        <x:v>Drafting occupations, including computer drafting</x:v>
      </x:c>
      <x:c r="C209" s="35" t="str">
        <x:v>17-3012.00</x:v>
      </x:c>
      <x:c r="D209" s="12" t="str">
        <x:v>Electrical and Electronics Drafters</x:v>
      </x:c>
      <x:c r="E209" s="2" t="str">
        <x:v>Include</x:v>
      </x:c>
      <x:c r="F209" s="2" t="str">
        <x:v>Yes</x:v>
      </x:c>
      <x:c r="G209" s="15" t="str">
        <x:v>6/6</x:v>
      </x:c>
      <x:c r="H209" s="18" t="n">
        <x:v>4</x:v>
      </x:c>
      <x:c r="I209" s="18" t="n">
        <x:v>4</x:v>
      </x:c>
      <x:c r="J209" s="18" t="n">
        <x:v>3.5</x:v>
      </x:c>
      <x:c r="K209" s="18" t="n">
        <x:v>4</x:v>
      </x:c>
      <x:c r="L209" s="18" t="n">
        <x:v>4.67</x:v>
      </x:c>
      <x:c r="M209" s="18" t="n">
        <x:v>3.67</x:v>
      </x:c>
      <x:c r="N209" s="12" t="str">
        <x:v>Prepare wiring diagrams, circuit board assembly diagrams, and layout drawings used for the manufacture, installation, or repair of electrical equipment.</x:v>
      </x:c>
      <x:c r="O209" s="12" t="str">
        <x:v>https://www.onetonline.org/link/summary/17-3012.00</x:v>
      </x:c>
      <x:c r="P209" s="12" t="str">
        <x:v>Architectural/civil, electrical/electronic, mechanical and other drafters.</x:v>
      </x:c>
    </x:row>
    <x:row r="210" ht="37.5" customHeight="1">
      <x:c r="A210" s="15" t="str">
        <x:v>641010</x:v>
      </x:c>
      <x:c r="B210" s="12" t="str">
        <x:v>Drafting occupations, including computer drafting</x:v>
      </x:c>
      <x:c r="C210" s="35" t="str">
        <x:v>17-3013.00</x:v>
      </x:c>
      <x:c r="D210" s="12" t="str">
        <x:v>Mechanical Drafters</x:v>
      </x:c>
      <x:c r="E210" s="2" t="str">
        <x:v>Include</x:v>
      </x:c>
      <x:c r="F210" s="2" t="str">
        <x:v>Yes</x:v>
      </x:c>
      <x:c r="G210" s="15" t="str">
        <x:v>6/6</x:v>
      </x:c>
      <x:c r="H210" s="18" t="n">
        <x:v>4.33</x:v>
      </x:c>
      <x:c r="I210" s="18" t="n">
        <x:v>4.5</x:v>
      </x:c>
      <x:c r="J210" s="18" t="n">
        <x:v>3.67</x:v>
      </x:c>
      <x:c r="K210" s="18" t="n">
        <x:v>4.33</x:v>
      </x:c>
      <x:c r="L210" s="18" t="n">
        <x:v>5.33</x:v>
      </x:c>
      <x:c r="M210" s="18" t="n">
        <x:v>4.33</x:v>
      </x:c>
      <x:c r="N210" s="12" t="str">
        <x:v>Prepare detailed working diagrams of machinery and mechanical devices, including dimensions, fastening methods, and other engineering information.</x:v>
      </x:c>
      <x:c r="O210" s="12" t="str">
        <x:v>https://www.onetonline.org/link/summary/17-3013.00</x:v>
      </x:c>
      <x:c r="P210" s="12" t="str">
        <x:v>Architectural/civil, electrical/electronic, mechanical and other drafters.</x:v>
      </x:c>
    </x:row>
    <x:row r="211" ht="37.5" customHeight="1">
      <x:c r="A211" s="15" t="str">
        <x:v>641010</x:v>
      </x:c>
      <x:c r="B211" s="12" t="str">
        <x:v>Drafting occupations, including computer drafting</x:v>
      </x:c>
      <x:c r="C211" s="35" t="str">
        <x:v>17-3019.00</x:v>
      </x:c>
      <x:c r="D211" s="12" t="str">
        <x:v>Drafters, All Other</x:v>
      </x:c>
      <x:c r="E211" s="2" t="str">
        <x:v>Exclude (no Work Values)</x:v>
      </x:c>
      <x:c r="F211" s="2" t="str">
        <x:v>Yes</x:v>
      </x:c>
      <x:c r="G211" s="15" t="str">
        <x:v>0/6</x:v>
      </x:c>
      <x:c r="H211" s="18"/>
      <x:c r="I211" s="18"/>
      <x:c r="J211" s="18"/>
      <x:c r="K211" s="18"/>
      <x:c r="L211" s="18"/>
      <x:c r="M211" s="18"/>
      <x:c r="N211" s="12" t="str">
        <x:v>All drafters not listed separately.</x:v>
      </x:c>
      <x:c r="O211" s="12" t="str">
        <x:v>https://www.onetonline.org/link/summary/17-3019.00</x:v>
      </x:c>
      <x:c r="P211" s="12" t="str">
        <x:v>Architectural/civil, electrical/electronic, mechanical and other drafters.</x:v>
      </x:c>
    </x:row>
    <x:row r="212" ht="36" customHeight="1">
      <x:c r="A212" s="15" t="str">
        <x:v>641020</x:v>
      </x:c>
      <x:c r="B212" s="12" t="str">
        <x:v>Surveying and mapping technicians</x:v>
      </x:c>
      <x:c r="C212" s="35" t="str">
        <x:v>17-3031.00</x:v>
      </x:c>
      <x:c r="D212" s="12" t="str">
        <x:v>Surveying and Mapping Technicians</x:v>
      </x:c>
      <x:c r="E212" s="2" t="str">
        <x:v>Include</x:v>
      </x:c>
      <x:c r="F212" s="2" t="str">
        <x:v>Yes</x:v>
      </x:c>
      <x:c r="G212" s="15" t="str">
        <x:v>6/6</x:v>
      </x:c>
      <x:c r="H212" s="18" t="n">
        <x:v>3.5</x:v>
      </x:c>
      <x:c r="I212" s="18" t="n">
        <x:v>3.58</x:v>
      </x:c>
      <x:c r="J212" s="18" t="n">
        <x:v>3</x:v>
      </x:c>
      <x:c r="K212" s="18" t="n">
        <x:v>3.67</x:v>
      </x:c>
      <x:c r="L212" s="18" t="n">
        <x:v>4.67</x:v>
      </x:c>
      <x:c r="M212" s="18" t="n">
        <x:v>4.17</x:v>
      </x:c>
      <x:c r="N212" s="12" t="str">
        <x:v>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x:v>
      </x:c>
      <x:c r="O212" s="12" t="str">
        <x:v>https://www.onetonline.org/link/summary/17-3031.00</x:v>
      </x:c>
      <x:c r="P212" s="12" t="str">
        <x:v>Occupation titles and scope align.</x:v>
      </x:c>
    </x:row>
    <x:row r="213" ht="37.5" customHeight="1">
      <x:c r="A213" s="15" t="str">
        <x:v>641030</x:v>
      </x:c>
      <x:c r="B213" s="12" t="str">
        <x:v>Other engineering technologists and technicians</x:v>
      </x:c>
      <x:c r="C213" s="35" t="str">
        <x:v>17-3021.00</x:v>
      </x:c>
      <x:c r="D213" s="12" t="str">
        <x:v>Aerospace Engineering and Operations Technologists and Technicians</x:v>
      </x:c>
      <x:c r="E213" s="2" t="str">
        <x:v>Include</x:v>
      </x:c>
      <x:c r="F213" s="2" t="str">
        <x:v>Yes</x:v>
      </x:c>
      <x:c r="G213" s="15" t="str">
        <x:v>6/6</x:v>
      </x:c>
      <x:c r="H213" s="18" t="n">
        <x:v>5</x:v>
      </x:c>
      <x:c r="I213" s="18" t="n">
        <x:v>5.5</x:v>
      </x:c>
      <x:c r="J213" s="18" t="n">
        <x:v>4.33</x:v>
      </x:c>
      <x:c r="K213" s="18" t="n">
        <x:v>3.33</x:v>
      </x:c>
      <x:c r="L213" s="18" t="n">
        <x:v>5.67</x:v>
      </x:c>
      <x:c r="M213" s="18" t="n">
        <x:v>4.33</x:v>
      </x:c>
      <x:c r="N213" s="12" t="str">
        <x:v>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x:v>
      </x:c>
      <x:c r="O213" s="12" t="str">
        <x:v>https://www.onetonline.org/link/summary/17-3021.00</x:v>
      </x:c>
      <x:c r="P213" s="12" t="str">
        <x:v>Aerospace, civil, environmental, calibration and other engineering technicians; exclude separately listed technician groups.</x:v>
      </x:c>
    </x:row>
    <x:row r="214" ht="37.5" customHeight="1">
      <x:c r="A214" s="15" t="str">
        <x:v>641030</x:v>
      </x:c>
      <x:c r="B214" s="12" t="str">
        <x:v>Other engineering technologists and technicians</x:v>
      </x:c>
      <x:c r="C214" s="35" t="str">
        <x:v>17-3022.00</x:v>
      </x:c>
      <x:c r="D214" s="12" t="str">
        <x:v>Civil Engineering Technologists and Technicians</x:v>
      </x:c>
      <x:c r="E214" s="2" t="str">
        <x:v>Include</x:v>
      </x:c>
      <x:c r="F214" s="2" t="str">
        <x:v>Yes</x:v>
      </x:c>
      <x:c r="G214" s="15" t="str">
        <x:v>6/6</x:v>
      </x:c>
      <x:c r="H214" s="18" t="n">
        <x:v>4.33</x:v>
      </x:c>
      <x:c r="I214" s="18" t="n">
        <x:v>4.17</x:v>
      </x:c>
      <x:c r="J214" s="18" t="n">
        <x:v>3.67</x:v>
      </x:c>
      <x:c r="K214" s="18" t="n">
        <x:v>4</x:v>
      </x:c>
      <x:c r="L214" s="18" t="n">
        <x:v>5.33</x:v>
      </x:c>
      <x:c r="M214" s="18" t="n">
        <x:v>4.67</x:v>
      </x:c>
      <x:c r="N214" s="12" t="str">
        <x:v>Apply theory and principles of civil engineering in planning, designing, and overseeing construction and maintenance of structures and facilities under the direction of engineering staff or physical scientists.</x:v>
      </x:c>
      <x:c r="O214" s="12" t="str">
        <x:v>https://www.onetonline.org/link/summary/17-3022.00</x:v>
      </x:c>
      <x:c r="P214" s="12" t="str">
        <x:v>Aerospace, civil, environmental, calibration and other engineering technicians; exclude separately listed technician groups.</x:v>
      </x:c>
    </x:row>
    <x:row r="215" ht="37.5" customHeight="1">
      <x:c r="A215" s="15" t="str">
        <x:v>641030</x:v>
      </x:c>
      <x:c r="B215" s="12" t="str">
        <x:v>Other engineering technologists and technicians</x:v>
      </x:c>
      <x:c r="C215" s="35" t="str">
        <x:v>17-3025.00</x:v>
      </x:c>
      <x:c r="D215" s="12" t="str">
        <x:v>Environmental Engineering Technologists and Technicians</x:v>
      </x:c>
      <x:c r="E215" s="2" t="str">
        <x:v>Include</x:v>
      </x:c>
      <x:c r="F215" s="2" t="str">
        <x:v>Yes</x:v>
      </x:c>
      <x:c r="G215" s="15" t="str">
        <x:v>6/6</x:v>
      </x:c>
      <x:c r="H215" s="18" t="n">
        <x:v>4.33</x:v>
      </x:c>
      <x:c r="I215" s="18" t="n">
        <x:v>4.67</x:v>
      </x:c>
      <x:c r="J215" s="18" t="n">
        <x:v>3.33</x:v>
      </x:c>
      <x:c r="K215" s="18" t="n">
        <x:v>4</x:v>
      </x:c>
      <x:c r="L215" s="18" t="n">
        <x:v>6</x:v>
      </x:c>
      <x:c r="M215" s="18" t="n">
        <x:v>4.33</x:v>
      </x:c>
      <x:c r="N215" s="12" t="str">
        <x:v>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x:v>
      </x:c>
      <x:c r="O215" s="12" t="str">
        <x:v>https://www.onetonline.org/link/summary/17-3025.00</x:v>
      </x:c>
      <x:c r="P215" s="12" t="str">
        <x:v>Aerospace, civil, environmental, calibration and other engineering technicians; exclude separately listed technician groups.</x:v>
      </x:c>
    </x:row>
    <x:row r="216" ht="37.5" customHeight="1">
      <x:c r="A216" s="15" t="str">
        <x:v>641030</x:v>
      </x:c>
      <x:c r="B216" s="12" t="str">
        <x:v>Other engineering technologists and technicians</x:v>
      </x:c>
      <x:c r="C216" s="35" t="str">
        <x:v>17-3028.00</x:v>
      </x:c>
      <x:c r="D216" s="12" t="str">
        <x:v>Calibration Technologists and Technicians</x:v>
      </x:c>
      <x:c r="E216" s="2" t="str">
        <x:v>Exclude (no Work Values)</x:v>
      </x:c>
      <x:c r="F216" s="2" t="str">
        <x:v>Yes</x:v>
      </x:c>
      <x:c r="G216" s="15" t="str">
        <x:v>0/6</x:v>
      </x:c>
      <x:c r="H216" s="18"/>
      <x:c r="I216" s="18"/>
      <x:c r="J216" s="18"/>
      <x:c r="K216" s="18"/>
      <x:c r="L216" s="18"/>
      <x:c r="M216" s="18"/>
      <x:c r="N216" s="12" t="str">
        <x:v>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x:v>
      </x:c>
      <x:c r="O216" s="12" t="str">
        <x:v>https://www.onetonline.org/link/summary/17-3028.00</x:v>
      </x:c>
      <x:c r="P216" s="12" t="str">
        <x:v>Aerospace, civil, environmental, calibration and other engineering technicians; exclude separately listed technician groups.</x:v>
      </x:c>
    </x:row>
    <x:row r="217" ht="37.5" customHeight="1">
      <x:c r="A217" s="15" t="str">
        <x:v>641030</x:v>
      </x:c>
      <x:c r="B217" s="12" t="str">
        <x:v>Other engineering technologists and technicians</x:v>
      </x:c>
      <x:c r="C217" s="35" t="str">
        <x:v>17-3029.00</x:v>
      </x:c>
      <x:c r="D217" s="12" t="str">
        <x:v>Engineering Technologists and Technicians, Except Drafters, All Other</x:v>
      </x:c>
      <x:c r="E217" s="2" t="str">
        <x:v>Exclude (no Work Values)</x:v>
      </x:c>
      <x:c r="F217" s="2" t="str">
        <x:v>Yes</x:v>
      </x:c>
      <x:c r="G217" s="15" t="str">
        <x:v>0/6</x:v>
      </x:c>
      <x:c r="H217" s="18"/>
      <x:c r="I217" s="18"/>
      <x:c r="J217" s="18"/>
      <x:c r="K217" s="18"/>
      <x:c r="L217" s="18"/>
      <x:c r="M217" s="18"/>
      <x:c r="N217" s="12" t="str">
        <x:v>All engineering technologists and technicians, except drafters, not listed separately.</x:v>
      </x:c>
      <x:c r="O217" s="12" t="str">
        <x:v>https://www.onetonline.org/link/summary/17-3029.00</x:v>
      </x:c>
      <x:c r="P217" s="12" t="str">
        <x:v>Aerospace, civil, environmental, calibration and other engineering technicians; exclude separately listed technician groups.</x:v>
      </x:c>
    </x:row>
    <x:row r="218" ht="36" customHeight="1">
      <x:c r="A218" s="15" t="str">
        <x:v>641040</x:v>
      </x:c>
      <x:c r="B218" s="12" t="str">
        <x:v>Surveyors, cartographers, photogrammetrists</x:v>
      </x:c>
      <x:c r="C218" s="35" t="str">
        <x:v>17-1021.00</x:v>
      </x:c>
      <x:c r="D218" s="12" t="str">
        <x:v>Cartographers and Photogrammetrists</x:v>
      </x:c>
      <x:c r="E218" s="2" t="str">
        <x:v>Include</x:v>
      </x:c>
      <x:c r="F218" s="2" t="str">
        <x:v>Yes</x:v>
      </x:c>
      <x:c r="G218" s="15" t="str">
        <x:v>6/6</x:v>
      </x:c>
      <x:c r="H218" s="18" t="n">
        <x:v>5</x:v>
      </x:c>
      <x:c r="I218" s="18" t="n">
        <x:v>4.67</x:v>
      </x:c>
      <x:c r="J218" s="18" t="n">
        <x:v>3.67</x:v>
      </x:c>
      <x:c r="K218" s="18" t="n">
        <x:v>3.33</x:v>
      </x:c>
      <x:c r="L218" s="18" t="n">
        <x:v>4</x:v>
      </x:c>
      <x:c r="M218" s="18" t="n">
        <x:v>4.67</x:v>
      </x:c>
      <x:c r="N218" s="12" t="str">
        <x:v>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x:v>
      </x:c>
      <x:c r="O218" s="12" t="str">
        <x:v>https://www.onetonline.org/link/summary/17-1021.00</x:v>
      </x:c>
      <x:c r="P218" s="12" t="str">
        <x:v>Mean of surveyors and cartographers/photogrammetrists.</x:v>
      </x:c>
    </x:row>
    <x:row r="219" ht="36" customHeight="1">
      <x:c r="A219" s="15" t="str">
        <x:v>641040</x:v>
      </x:c>
      <x:c r="B219" s="12" t="str">
        <x:v>Surveyors, cartographers, photogrammetrists</x:v>
      </x:c>
      <x:c r="C219" s="35" t="str">
        <x:v>17-1022.00</x:v>
      </x:c>
      <x:c r="D219" s="12" t="str">
        <x:v>Surveyors</x:v>
      </x:c>
      <x:c r="E219" s="2" t="str">
        <x:v>Include</x:v>
      </x:c>
      <x:c r="F219" s="2" t="str">
        <x:v>Yes</x:v>
      </x:c>
      <x:c r="G219" s="15" t="str">
        <x:v>6/6</x:v>
      </x:c>
      <x:c r="H219" s="18" t="n">
        <x:v>4</x:v>
      </x:c>
      <x:c r="I219" s="18" t="n">
        <x:v>4</x:v>
      </x:c>
      <x:c r="J219" s="18" t="n">
        <x:v>3.67</x:v>
      </x:c>
      <x:c r="K219" s="18" t="n">
        <x:v>5.33</x:v>
      </x:c>
      <x:c r="L219" s="18" t="n">
        <x:v>4</x:v>
      </x:c>
      <x:c r="M219" s="18" t="n">
        <x:v>5</x:v>
      </x:c>
      <x:c r="N219" s="12" t="str">
        <x:v>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x:v>
      </x:c>
      <x:c r="O219" s="12" t="str">
        <x:v>https://www.onetonline.org/link/summary/17-1022.00</x:v>
      </x:c>
      <x:c r="P219" s="12" t="str">
        <x:v>Mean of surveyors and cartographers/photogrammetrists.</x:v>
      </x:c>
    </x:row>
    <x:row r="220" ht="50.25" customHeight="1">
      <x:c r="A220" s="15" t="str">
        <x:v>641970</x:v>
      </x:c>
      <x:c r="B220" s="12" t="str">
        <x:v>Technologists and technicians in the physical sciences</x:v>
      </x:c>
      <x:c r="C220" s="35" t="str">
        <x:v>19-4031.00</x:v>
      </x:c>
      <x:c r="D220" s="12" t="str">
        <x:v>Chemical Technicians</x:v>
      </x:c>
      <x:c r="E220" s="2" t="str">
        <x:v>Include</x:v>
      </x:c>
      <x:c r="F220" s="2" t="str">
        <x:v>Yes</x:v>
      </x:c>
      <x:c r="G220" s="15" t="str">
        <x:v>6/6</x:v>
      </x:c>
      <x:c r="H220" s="18" t="n">
        <x:v>3.33</x:v>
      </x:c>
      <x:c r="I220" s="18" t="n">
        <x:v>3.67</x:v>
      </x:c>
      <x:c r="J220" s="18" t="n">
        <x:v>3</x:v>
      </x:c>
      <x:c r="K220" s="18" t="n">
        <x:v>4.33</x:v>
      </x:c>
      <x:c r="L220" s="18" t="n">
        <x:v>5.33</x:v>
      </x:c>
      <x:c r="M220" s="18" t="n">
        <x:v>3.67</x:v>
      </x:c>
      <x:c r="N220" s="12" t="str">
        <x:v>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x:v>
      </x:c>
      <x:c r="O220" s="12" t="str">
        <x:v>https://www.onetonline.org/link/summary/19-4031.00</x:v>
      </x:c>
      <x:c r="P220" s="12" t="str">
        <x:v>Chemical, environmental, geological, hydrologic, nuclear, forensic and other science technicians. The unrated residual spans life, physical and social science.</x:v>
      </x:c>
    </x:row>
    <x:row r="221" ht="50.25" customHeight="1">
      <x:c r="A221" s="15" t="str">
        <x:v>641970</x:v>
      </x:c>
      <x:c r="B221" s="12" t="str">
        <x:v>Technologists and technicians in the physical sciences</x:v>
      </x:c>
      <x:c r="C221" s="35" t="str">
        <x:v>19-4042.00</x:v>
      </x:c>
      <x:c r="D221" s="12" t="str">
        <x:v>Environmental Science and Protection Technicians, Including Health</x:v>
      </x:c>
      <x:c r="E221" s="2" t="str">
        <x:v>Include</x:v>
      </x:c>
      <x:c r="F221" s="2" t="str">
        <x:v>Yes</x:v>
      </x:c>
      <x:c r="G221" s="15" t="str">
        <x:v>6/6</x:v>
      </x:c>
      <x:c r="H221" s="18" t="n">
        <x:v>4.67</x:v>
      </x:c>
      <x:c r="I221" s="18" t="n">
        <x:v>3.5</x:v>
      </x:c>
      <x:c r="J221" s="18" t="n">
        <x:v>4</x:v>
      </x:c>
      <x:c r="K221" s="18" t="n">
        <x:v>4.33</x:v>
      </x:c>
      <x:c r="L221" s="18" t="n">
        <x:v>4.67</x:v>
      </x:c>
      <x:c r="M221" s="18" t="n">
        <x:v>3.67</x:v>
      </x:c>
      <x:c r="N221" s="12" t="str">
        <x:v>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x:v>
      </x:c>
      <x:c r="O221" s="12" t="str">
        <x:v>https://www.onetonline.org/link/summary/19-4042.00</x:v>
      </x:c>
      <x:c r="P221" s="12" t="str">
        <x:v>Chemical, environmental, geological, hydrologic, nuclear, forensic and other science technicians. The unrated residual spans life, physical and social science.</x:v>
      </x:c>
    </x:row>
    <x:row r="222" ht="50.25" customHeight="1">
      <x:c r="A222" s="15" t="str">
        <x:v>641970</x:v>
      </x:c>
      <x:c r="B222" s="12" t="str">
        <x:v>Technologists and technicians in the physical sciences</x:v>
      </x:c>
      <x:c r="C222" s="35" t="str">
        <x:v>19-4043.00</x:v>
      </x:c>
      <x:c r="D222" s="12" t="str">
        <x:v>Geological Technicians, Except Hydrologic Technicians</x:v>
      </x:c>
      <x:c r="E222" s="2" t="str">
        <x:v>Include</x:v>
      </x:c>
      <x:c r="F222" s="2" t="str">
        <x:v>Yes</x:v>
      </x:c>
      <x:c r="G222" s="15" t="str">
        <x:v>6/6</x:v>
      </x:c>
      <x:c r="H222" s="18" t="n">
        <x:v>4</x:v>
      </x:c>
      <x:c r="I222" s="18" t="n">
        <x:v>4</x:v>
      </x:c>
      <x:c r="J222" s="18" t="n">
        <x:v>3.67</x:v>
      </x:c>
      <x:c r="K222" s="18" t="n">
        <x:v>4.17</x:v>
      </x:c>
      <x:c r="L222" s="18" t="n">
        <x:v>4.83</x:v>
      </x:c>
      <x:c r="M222" s="18" t="n">
        <x:v>4.17</x:v>
      </x:c>
      <x:c r="N222" s="12" t="str">
        <x:v>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x:v>
      </x:c>
      <x:c r="O222" s="12" t="str">
        <x:v>https://www.onetonline.org/link/summary/19-4043.00</x:v>
      </x:c>
      <x:c r="P222" s="12" t="str">
        <x:v>Chemical, environmental, geological, hydrologic, nuclear, forensic and other science technicians. The unrated residual spans life, physical and social science.</x:v>
      </x:c>
    </x:row>
    <x:row r="223" ht="50.25" customHeight="1">
      <x:c r="A223" s="15" t="str">
        <x:v>641970</x:v>
      </x:c>
      <x:c r="B223" s="12" t="str">
        <x:v>Technologists and technicians in the physical sciences</x:v>
      </x:c>
      <x:c r="C223" s="35" t="str">
        <x:v>19-4044.00</x:v>
      </x:c>
      <x:c r="D223" s="12" t="str">
        <x:v>Hydrologic Technicians</x:v>
      </x:c>
      <x:c r="E223" s="2" t="str">
        <x:v>Exclude (no Work Values)</x:v>
      </x:c>
      <x:c r="F223" s="2" t="str">
        <x:v>Yes</x:v>
      </x:c>
      <x:c r="G223" s="15" t="str">
        <x:v>0/6</x:v>
      </x:c>
      <x:c r="H223" s="18"/>
      <x:c r="I223" s="18"/>
      <x:c r="J223" s="18"/>
      <x:c r="K223" s="18"/>
      <x:c r="L223" s="18"/>
      <x:c r="M223" s="18"/>
      <x:c r="N223" s="12" t="str">
        <x:v>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x:v>
      </x:c>
      <x:c r="O223" s="12" t="str">
        <x:v>https://www.onetonline.org/link/summary/19-4044.00</x:v>
      </x:c>
      <x:c r="P223" s="12" t="str">
        <x:v>Chemical, environmental, geological, hydrologic, nuclear, forensic and other science technicians. The unrated residual spans life, physical and social science.</x:v>
      </x:c>
    </x:row>
    <x:row r="224" ht="50.25" customHeight="1">
      <x:c r="A224" s="15" t="str">
        <x:v>641970</x:v>
      </x:c>
      <x:c r="B224" s="12" t="str">
        <x:v>Technologists and technicians in the physical sciences</x:v>
      </x:c>
      <x:c r="C224" s="35" t="str">
        <x:v>19-4051.00</x:v>
      </x:c>
      <x:c r="D224" s="12" t="str">
        <x:v>Nuclear Technicians</x:v>
      </x:c>
      <x:c r="E224" s="2" t="str">
        <x:v>Include</x:v>
      </x:c>
      <x:c r="F224" s="2" t="str">
        <x:v>Yes</x:v>
      </x:c>
      <x:c r="G224" s="15" t="str">
        <x:v>6/6</x:v>
      </x:c>
      <x:c r="H224" s="18" t="n">
        <x:v>3.33</x:v>
      </x:c>
      <x:c r="I224" s="18" t="n">
        <x:v>3.83</x:v>
      </x:c>
      <x:c r="J224" s="18" t="n">
        <x:v>2.67</x:v>
      </x:c>
      <x:c r="K224" s="18" t="n">
        <x:v>3.67</x:v>
      </x:c>
      <x:c r="L224" s="18" t="n">
        <x:v>6.67</x:v>
      </x:c>
      <x:c r="M224" s="18" t="n">
        <x:v>2.67</x:v>
      </x:c>
      <x:c r="N224" s="12" t="str">
        <x:v>Assist nuclear physicists, nuclear engineers, or other scientists in laboratory, power generation, or electricity production activities. May operate, maintain, or provide quality control for nuclear testing and research equipment. May monitor radiation.</x:v>
      </x:c>
      <x:c r="O224" s="12" t="str">
        <x:v>https://www.onetonline.org/link/summary/19-4051.00</x:v>
      </x:c>
      <x:c r="P224" s="12" t="str">
        <x:v>Chemical, environmental, geological, hydrologic, nuclear, forensic and other science technicians. The unrated residual spans life, physical and social science.</x:v>
      </x:c>
    </x:row>
    <x:row r="225" ht="50.25" customHeight="1">
      <x:c r="A225" s="15" t="str">
        <x:v>641970</x:v>
      </x:c>
      <x:c r="B225" s="12" t="str">
        <x:v>Technologists and technicians in the physical sciences</x:v>
      </x:c>
      <x:c r="C225" s="35" t="str">
        <x:v>19-4092.00</x:v>
      </x:c>
      <x:c r="D225" s="12" t="str">
        <x:v>Forensic Science Technicians</x:v>
      </x:c>
      <x:c r="E225" s="2" t="str">
        <x:v>Include</x:v>
      </x:c>
      <x:c r="F225" s="2" t="str">
        <x:v>Yes</x:v>
      </x:c>
      <x:c r="G225" s="15" t="str">
        <x:v>6/6</x:v>
      </x:c>
      <x:c r="H225" s="18" t="n">
        <x:v>4</x:v>
      </x:c>
      <x:c r="I225" s="18" t="n">
        <x:v>3.83</x:v>
      </x:c>
      <x:c r="J225" s="18" t="n">
        <x:v>4.33</x:v>
      </x:c>
      <x:c r="K225" s="18" t="n">
        <x:v>3</x:v>
      </x:c>
      <x:c r="L225" s="18" t="n">
        <x:v>5.33</x:v>
      </x:c>
      <x:c r="M225" s="18" t="n">
        <x:v>4</x:v>
      </x:c>
      <x:c r="N225" s="12" t="str">
        <x:v>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x:v>
      </x:c>
      <x:c r="O225" s="12" t="str">
        <x:v>https://www.onetonline.org/link/summary/19-4092.00</x:v>
      </x:c>
      <x:c r="P225" s="12" t="str">
        <x:v>Chemical, environmental, geological, hydrologic, nuclear, forensic and other science technicians. The unrated residual spans life, physical and social science.</x:v>
      </x:c>
    </x:row>
    <x:row r="226" ht="50.25" customHeight="1">
      <x:c r="A226" s="15" t="str">
        <x:v>641970</x:v>
      </x:c>
      <x:c r="B226" s="12" t="str">
        <x:v>Technologists and technicians in the physical sciences</x:v>
      </x:c>
      <x:c r="C226" s="35" t="str">
        <x:v>19-4099.00</x:v>
      </x:c>
      <x:c r="D226" s="12" t="str">
        <x:v>Life, Physical, and Social Science Technicians, All Other</x:v>
      </x:c>
      <x:c r="E226" s="2" t="str">
        <x:v>Exclude (no Work Values)</x:v>
      </x:c>
      <x:c r="F226" s="2" t="str">
        <x:v>Yes</x:v>
      </x:c>
      <x:c r="G226" s="15" t="str">
        <x:v>0/6</x:v>
      </x:c>
      <x:c r="H226" s="18"/>
      <x:c r="I226" s="18"/>
      <x:c r="J226" s="18"/>
      <x:c r="K226" s="18"/>
      <x:c r="L226" s="18"/>
      <x:c r="M226" s="18"/>
      <x:c r="N226" s="12" t="str">
        <x:v>All life, physical, and social science technicians not listed separately.</x:v>
      </x:c>
      <x:c r="O226" s="12" t="str">
        <x:v>https://www.onetonline.org/link/summary/19-4099.00</x:v>
      </x:c>
      <x:c r="P226" s="12" t="str">
        <x:v>Chemical, environmental, geological, hydrologic, nuclear, forensic and other science technicians. The unrated residual spans life, physical and social science.</x:v>
      </x:c>
    </x:row>
    <x:row r="227" ht="36" customHeight="1">
      <x:c r="A227" s="15" t="str">
        <x:v>650810</x:v>
      </x:c>
      <x:c r="B227" s="12" t="str">
        <x:v>Architects, except naval</x:v>
      </x:c>
      <x:c r="C227" s="35" t="str">
        <x:v>17-1011.00</x:v>
      </x:c>
      <x:c r="D227" s="12" t="str">
        <x:v>Architects, Except Landscape and Naval</x:v>
      </x:c>
      <x:c r="E227" s="2" t="str">
        <x:v>Include</x:v>
      </x:c>
      <x:c r="F227" s="2" t="str">
        <x:v>Yes</x:v>
      </x:c>
      <x:c r="G227" s="15" t="str">
        <x:v>6/6</x:v>
      </x:c>
      <x:c r="H227" s="18" t="n">
        <x:v>5.67</x:v>
      </x:c>
      <x:c r="I227" s="18" t="n">
        <x:v>5.5</x:v>
      </x:c>
      <x:c r="J227" s="18" t="n">
        <x:v>5.67</x:v>
      </x:c>
      <x:c r="K227" s="18" t="n">
        <x:v>3.67</x:v>
      </x:c>
      <x:c r="L227" s="18" t="n">
        <x:v>4.33</x:v>
      </x:c>
      <x:c r="M227" s="18" t="n">
        <x:v>6</x:v>
      </x:c>
      <x:c r="N227" s="12" t="str">
        <x:v>Plan and design structures, such as private residences, office buildings, theaters, factories, and other structural property.</x:v>
      </x:c>
      <x:c r="O227" s="12" t="str">
        <x:v>https://www.onetonline.org/link/summary/17-1011.00</x:v>
      </x:c>
      <x:c r="P227" s="12" t="str">
        <x:v>Mean of architects, excluding landscape/naval, and landscape architects.</x:v>
      </x:c>
    </x:row>
    <x:row r="228" ht="36" customHeight="1">
      <x:c r="A228" s="15" t="str">
        <x:v>650810</x:v>
      </x:c>
      <x:c r="B228" s="12" t="str">
        <x:v>Architects, except naval</x:v>
      </x:c>
      <x:c r="C228" s="35" t="str">
        <x:v>17-1012.00</x:v>
      </x:c>
      <x:c r="D228" s="12" t="str">
        <x:v>Landscape Architects</x:v>
      </x:c>
      <x:c r="E228" s="2" t="str">
        <x:v>Include</x:v>
      </x:c>
      <x:c r="F228" s="2" t="str">
        <x:v>Yes</x:v>
      </x:c>
      <x:c r="G228" s="15" t="str">
        <x:v>6/6</x:v>
      </x:c>
      <x:c r="H228" s="18" t="n">
        <x:v>5</x:v>
      </x:c>
      <x:c r="I228" s="18" t="n">
        <x:v>5.17</x:v>
      </x:c>
      <x:c r="J228" s="18" t="n">
        <x:v>4.67</x:v>
      </x:c>
      <x:c r="K228" s="18" t="n">
        <x:v>3.33</x:v>
      </x:c>
      <x:c r="L228" s="18" t="n">
        <x:v>3</x:v>
      </x:c>
      <x:c r="M228" s="18" t="n">
        <x:v>5.67</x:v>
      </x:c>
      <x:c r="N228" s="12" t="str">
        <x:v>Plan and design land areas for projects such as parks and other recreational facilities, airports, highways, hospitals, schools, land subdivisions, and commercial, industrial, and residential sites.</x:v>
      </x:c>
      <x:c r="O228" s="12" t="str">
        <x:v>https://www.onetonline.org/link/summary/17-1012.00</x:v>
      </x:c>
      <x:c r="P228" s="12" t="str">
        <x:v>Mean of architects, excluding landscape/naval, and landscape architects.</x:v>
      </x:c>
    </x:row>
    <x:row r="229" ht="36" customHeight="1">
      <x:c r="A229" s="15" t="str">
        <x:v>651710</x:v>
      </x:c>
      <x:c r="B229" s="12" t="str">
        <x:v>Actuaries</x:v>
      </x:c>
      <x:c r="C229" s="35" t="str">
        <x:v>15-2011.00</x:v>
      </x:c>
      <x:c r="D229" s="12" t="str">
        <x:v>Actuaries</x:v>
      </x:c>
      <x:c r="E229" s="2" t="str">
        <x:v>Include</x:v>
      </x:c>
      <x:c r="F229" s="2" t="str">
        <x:v>Yes</x:v>
      </x:c>
      <x:c r="G229" s="15" t="str">
        <x:v>6/6</x:v>
      </x:c>
      <x:c r="H229" s="18" t="n">
        <x:v>4.67</x:v>
      </x:c>
      <x:c r="I229" s="18" t="n">
        <x:v>5</x:v>
      </x:c>
      <x:c r="J229" s="18" t="n">
        <x:v>4.33</x:v>
      </x:c>
      <x:c r="K229" s="18" t="n">
        <x:v>3.67</x:v>
      </x:c>
      <x:c r="L229" s="18" t="n">
        <x:v>4.33</x:v>
      </x:c>
      <x:c r="M229" s="18" t="n">
        <x:v>4.67</x:v>
      </x:c>
      <x:c r="N229" s="12" t="str">
        <x:v>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x:v>
      </x:c>
      <x:c r="O229" s="12" t="str">
        <x:v>https://www.onetonline.org/link/summary/15-2011.00</x:v>
      </x:c>
      <x:c r="P229" s="12" t="str">
        <x:v>Occupation titles and scope align.</x:v>
      </x:c>
    </x:row>
    <x:row r="230" ht="37.5" customHeight="1">
      <x:c r="A230" s="15" t="str">
        <x:v>711410</x:v>
      </x:c>
      <x:c r="B230" s="12" t="str">
        <x:v>Top-executives (e.g., chief executives, general and operations managers, legislators)</x:v>
      </x:c>
      <x:c r="C230" s="35" t="str">
        <x:v>11-1011.00</x:v>
      </x:c>
      <x:c r="D230" s="12" t="str">
        <x:v>Chief Executives</x:v>
      </x:c>
      <x:c r="E230" s="2" t="str">
        <x:v>Include</x:v>
      </x:c>
      <x:c r="F230" s="2" t="str">
        <x:v>Yes</x:v>
      </x:c>
      <x:c r="G230" s="15" t="str">
        <x:v>6/6</x:v>
      </x:c>
      <x:c r="H230" s="18" t="n">
        <x:v>6.33</x:v>
      </x:c>
      <x:c r="I230" s="18" t="n">
        <x:v>6.33</x:v>
      </x:c>
      <x:c r="J230" s="18" t="n">
        <x:v>7</x:v>
      </x:c>
      <x:c r="K230" s="18" t="n">
        <x:v>5</x:v>
      </x:c>
      <x:c r="L230" s="18" t="n">
        <x:v>5.33</x:v>
      </x:c>
      <x:c r="M230" s="18" t="n">
        <x:v>7</x:v>
      </x:c>
      <x:c r="N230" s="12" t="str">
        <x:v>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x:v>
      </x:c>
      <x:c r="O230" s="12" t="str">
        <x:v>https://www.onetonline.org/link/summary/11-1011.00</x:v>
      </x:c>
      <x:c r="P230" s="12" t="str">
        <x:v>Chief executives, general/operations managers and legislators.</x:v>
      </x:c>
    </x:row>
    <x:row r="231" ht="37.5" customHeight="1">
      <x:c r="A231" s="15" t="str">
        <x:v>711410</x:v>
      </x:c>
      <x:c r="B231" s="12" t="str">
        <x:v>Top-executives (e.g., chief executives, general and operations managers, legislators)</x:v>
      </x:c>
      <x:c r="C231" s="35" t="str">
        <x:v>11-1021.00</x:v>
      </x:c>
      <x:c r="D231" s="12" t="str">
        <x:v>General and Operations Managers</x:v>
      </x:c>
      <x:c r="E231" s="2" t="str">
        <x:v>Include</x:v>
      </x:c>
      <x:c r="F231" s="2" t="str">
        <x:v>Yes</x:v>
      </x:c>
      <x:c r="G231" s="15" t="str">
        <x:v>6/6</x:v>
      </x:c>
      <x:c r="H231" s="18" t="n">
        <x:v>5.33</x:v>
      </x:c>
      <x:c r="I231" s="18" t="n">
        <x:v>6</x:v>
      </x:c>
      <x:c r="J231" s="18" t="n">
        <x:v>5.67</x:v>
      </x:c>
      <x:c r="K231" s="18" t="n">
        <x:v>6.33</x:v>
      </x:c>
      <x:c r="L231" s="18" t="n">
        <x:v>4.67</x:v>
      </x:c>
      <x:c r="M231" s="18" t="n">
        <x:v>6</x:v>
      </x:c>
      <x:c r="N231" s="12" t="str">
        <x:v>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x:v>
      </x:c>
      <x:c r="O231" s="12" t="str">
        <x:v>https://www.onetonline.org/link/summary/11-1021.00</x:v>
      </x:c>
      <x:c r="P231" s="12" t="str">
        <x:v>Chief executives, general/operations managers and legislators.</x:v>
      </x:c>
    </x:row>
    <x:row r="232" ht="37.5" customHeight="1">
      <x:c r="A232" s="15" t="str">
        <x:v>711410</x:v>
      </x:c>
      <x:c r="B232" s="12" t="str">
        <x:v>Top-executives (e.g., chief executives, general and operations managers, legislators)</x:v>
      </x:c>
      <x:c r="C232" s="35" t="str">
        <x:v>11-1031.00</x:v>
      </x:c>
      <x:c r="D232" s="12" t="str">
        <x:v>Legislators</x:v>
      </x:c>
      <x:c r="E232" s="2" t="str">
        <x:v>Include</x:v>
      </x:c>
      <x:c r="F232" s="2" t="str">
        <x:v>Yes</x:v>
      </x:c>
      <x:c r="G232" s="15" t="str">
        <x:v>6/6</x:v>
      </x:c>
      <x:c r="H232" s="18" t="n">
        <x:v>5.33</x:v>
      </x:c>
      <x:c r="I232" s="18" t="n">
        <x:v>4.33</x:v>
      </x:c>
      <x:c r="J232" s="18" t="n">
        <x:v>5</x:v>
      </x:c>
      <x:c r="K232" s="18" t="n">
        <x:v>5.67</x:v>
      </x:c>
      <x:c r="L232" s="18" t="n">
        <x:v>4</x:v>
      </x:c>
      <x:c r="M232" s="18" t="n">
        <x:v>5</x:v>
      </x:c>
      <x:c r="N232" s="12" t="str">
        <x:v>Develop, introduce, or enact laws and statutes at the local, tribal, state, or federal level. Includes only workers in elected positions.</x:v>
      </x:c>
      <x:c r="O232" s="12" t="str">
        <x:v>https://www.onetonline.org/link/summary/11-1031.00</x:v>
      </x:c>
      <x:c r="P232" s="12" t="str">
        <x:v>Chief executives, general/operations managers and legislators.</x:v>
      </x:c>
    </x:row>
    <x:row r="233" ht="37.5" customHeight="1">
      <x:c r="A233" s="15" t="str">
        <x:v>711460</x:v>
      </x:c>
      <x:c r="B233" s="12" t="str">
        <x:v>Education and childcare administrators</x:v>
      </x:c>
      <x:c r="C233" s="35" t="str">
        <x:v>11-9031.00</x:v>
      </x:c>
      <x:c r="D233" s="12" t="str">
        <x:v>Education and Childcare Administrators, Preschool and Daycare</x:v>
      </x:c>
      <x:c r="E233" s="2" t="str">
        <x:v>Include</x:v>
      </x:c>
      <x:c r="F233" s="2" t="str">
        <x:v>Yes</x:v>
      </x:c>
      <x:c r="G233" s="15" t="str">
        <x:v>6/6</x:v>
      </x:c>
      <x:c r="H233" s="18" t="n">
        <x:v>5.67</x:v>
      </x:c>
      <x:c r="I233" s="18" t="n">
        <x:v>4.67</x:v>
      </x:c>
      <x:c r="J233" s="18" t="n">
        <x:v>4.67</x:v>
      </x:c>
      <x:c r="K233" s="18" t="n">
        <x:v>6.67</x:v>
      </x:c>
      <x:c r="L233" s="18" t="n">
        <x:v>3</x:v>
      </x:c>
      <x:c r="M233" s="18" t="n">
        <x:v>5.67</x:v>
      </x:c>
      <x:c r="N233" s="12" t="str">
        <x:v>Plan, direct, or coordinate academic or nonacademic activities of preschools or childcare centers and programs, including before- and after-school care.</x:v>
      </x:c>
      <x:c r="O233" s="12" t="str">
        <x:v>https://www.onetonline.org/link/summary/11-9031.00</x:v>
      </x:c>
      <x:c r="P233" s="12" t="str">
        <x:v>Preschool/childcare, school, college and other education administrators.</x:v>
      </x:c>
    </x:row>
    <x:row r="234" ht="37.5" customHeight="1">
      <x:c r="A234" s="15" t="str">
        <x:v>711460</x:v>
      </x:c>
      <x:c r="B234" s="12" t="str">
        <x:v>Education and childcare administrators</x:v>
      </x:c>
      <x:c r="C234" s="35" t="str">
        <x:v>11-9032.00</x:v>
      </x:c>
      <x:c r="D234" s="12" t="str">
        <x:v>Education Administrators, Kindergarten through Secondary</x:v>
      </x:c>
      <x:c r="E234" s="2" t="str">
        <x:v>Include</x:v>
      </x:c>
      <x:c r="F234" s="2" t="str">
        <x:v>Yes</x:v>
      </x:c>
      <x:c r="G234" s="15" t="str">
        <x:v>6/6</x:v>
      </x:c>
      <x:c r="H234" s="18" t="n">
        <x:v>5.67</x:v>
      </x:c>
      <x:c r="I234" s="18" t="n">
        <x:v>6</x:v>
      </x:c>
      <x:c r="J234" s="18" t="n">
        <x:v>5.67</x:v>
      </x:c>
      <x:c r="K234" s="18" t="n">
        <x:v>6.33</x:v>
      </x:c>
      <x:c r="L234" s="18" t="n">
        <x:v>4.33</x:v>
      </x:c>
      <x:c r="M234" s="18" t="n">
        <x:v>6.33</x:v>
      </x:c>
      <x:c r="N234" s="12" t="str">
        <x:v>Plan, direct, or coordinate the academic, administrative, or auxiliary activities of kindergarten, elementary, or secondary schools.</x:v>
      </x:c>
      <x:c r="O234" s="12" t="str">
        <x:v>https://www.onetonline.org/link/summary/11-9032.00</x:v>
      </x:c>
      <x:c r="P234" s="12" t="str">
        <x:v>Preschool/childcare, school, college and other education administrators.</x:v>
      </x:c>
    </x:row>
    <x:row r="235" ht="37.5" customHeight="1">
      <x:c r="A235" s="15" t="str">
        <x:v>711460</x:v>
      </x:c>
      <x:c r="B235" s="12" t="str">
        <x:v>Education and childcare administrators</x:v>
      </x:c>
      <x:c r="C235" s="35" t="str">
        <x:v>11-9033.00</x:v>
      </x:c>
      <x:c r="D235" s="12" t="str">
        <x:v>Education Administrators, Postsecondary</x:v>
      </x:c>
      <x:c r="E235" s="2" t="str">
        <x:v>Include</x:v>
      </x:c>
      <x:c r="F235" s="2" t="str">
        <x:v>Yes</x:v>
      </x:c>
      <x:c r="G235" s="15" t="str">
        <x:v>6/6</x:v>
      </x:c>
      <x:c r="H235" s="18" t="n">
        <x:v>6</x:v>
      </x:c>
      <x:c r="I235" s="18" t="n">
        <x:v>5.83</x:v>
      </x:c>
      <x:c r="J235" s="18" t="n">
        <x:v>5.33</x:v>
      </x:c>
      <x:c r="K235" s="18" t="n">
        <x:v>6</x:v>
      </x:c>
      <x:c r="L235" s="18" t="n">
        <x:v>4.33</x:v>
      </x:c>
      <x:c r="M235" s="18" t="n">
        <x:v>6.33</x:v>
      </x:c>
      <x:c r="N235" s="12" t="str">
        <x:v>Plan, direct, or coordinate student instruction, administration, and services, as well as other research and educational activities, at postsecondary institutions, including universities, colleges, and junior and community colleges.</x:v>
      </x:c>
      <x:c r="O235" s="12" t="str">
        <x:v>https://www.onetonline.org/link/summary/11-9033.00</x:v>
      </x:c>
      <x:c r="P235" s="12" t="str">
        <x:v>Preschool/childcare, school, college and other education administrators.</x:v>
      </x:c>
    </x:row>
    <x:row r="236" ht="37.5" customHeight="1">
      <x:c r="A236" s="15" t="str">
        <x:v>711460</x:v>
      </x:c>
      <x:c r="B236" s="12" t="str">
        <x:v>Education and childcare administrators</x:v>
      </x:c>
      <x:c r="C236" s="35" t="str">
        <x:v>11-9039.00</x:v>
      </x:c>
      <x:c r="D236" s="12" t="str">
        <x:v>Education Administrators, All Other</x:v>
      </x:c>
      <x:c r="E236" s="2" t="str">
        <x:v>Exclude (no Work Values)</x:v>
      </x:c>
      <x:c r="F236" s="2" t="str">
        <x:v>Yes</x:v>
      </x:c>
      <x:c r="G236" s="15" t="str">
        <x:v>0/6</x:v>
      </x:c>
      <x:c r="H236" s="18"/>
      <x:c r="I236" s="18"/>
      <x:c r="J236" s="18"/>
      <x:c r="K236" s="18"/>
      <x:c r="L236" s="18"/>
      <x:c r="M236" s="18"/>
      <x:c r="N236" s="12" t="str">
        <x:v>All education administrators not listed separately.</x:v>
      </x:c>
      <x:c r="O236" s="12" t="str">
        <x:v>https://www.onetonline.org/link/summary/11-9039.00</x:v>
      </x:c>
      <x:c r="P236" s="12" t="str">
        <x:v>Preschool/childcare, school, college and other education administrators.</x:v>
      </x:c>
    </x:row>
    <x:row r="237" ht="50.25" customHeight="1">
      <x:c r="A237" s="15" t="str">
        <x:v>711470</x:v>
      </x:c>
      <x:c r="B237" s="12" t="str">
        <x:v>Other mid-level managers</x:v>
      </x:c>
      <x:c r="C237" s="35" t="str">
        <x:v>11-2011.00</x:v>
      </x:c>
      <x:c r="D237" s="12" t="str">
        <x:v>Advertising and Promotions Managers</x:v>
      </x:c>
      <x:c r="E237" s="2" t="str">
        <x:v>Include</x:v>
      </x:c>
      <x:c r="F237" s="2" t="str">
        <x:v>Yes</x:v>
      </x:c>
      <x:c r="G237" s="15" t="str">
        <x:v>6/6</x:v>
      </x:c>
      <x:c r="H237" s="18" t="n">
        <x:v>5.33</x:v>
      </x:c>
      <x:c r="I237" s="18" t="n">
        <x:v>5.33</x:v>
      </x:c>
      <x:c r="J237" s="18" t="n">
        <x:v>5.33</x:v>
      </x:c>
      <x:c r="K237" s="18" t="n">
        <x:v>5</x:v>
      </x:c>
      <x:c r="L237" s="18" t="n">
        <x:v>4</x:v>
      </x:c>
      <x:c r="M237" s="18" t="n">
        <x:v>5.33</x:v>
      </x:c>
      <x:c r="N237" s="12" t="str">
        <x:v>Plan, direct, or coordinate advertising policies and programs or produce collateral materials, such as posters, contests, coupons, or giveaways, to create extra interest in the purchase of a product or service for a department, an entire organization, or on an account basis.</x:v>
      </x:c>
      <x:c r="O237" s="12" t="str">
        <x:v>https://www.onetonline.org/link/summary/11-2011.00</x:v>
      </x:c>
      <x:c r="P237" s="12" t="str">
        <x:v>Management occupations minus top executives and separately listed computer, engineering, health, natural-science and education managers.</x:v>
      </x:c>
    </x:row>
    <x:row r="238" ht="50.25" customHeight="1">
      <x:c r="A238" s="15" t="str">
        <x:v>711470</x:v>
      </x:c>
      <x:c r="B238" s="12" t="str">
        <x:v>Other mid-level managers</x:v>
      </x:c>
      <x:c r="C238" s="35" t="str">
        <x:v>11-2021.00</x:v>
      </x:c>
      <x:c r="D238" s="12" t="str">
        <x:v>Marketing Managers</x:v>
      </x:c>
      <x:c r="E238" s="2" t="str">
        <x:v>Include</x:v>
      </x:c>
      <x:c r="F238" s="2" t="str">
        <x:v>Yes</x:v>
      </x:c>
      <x:c r="G238" s="15" t="str">
        <x:v>6/6</x:v>
      </x:c>
      <x:c r="H238" s="18" t="n">
        <x:v>6</x:v>
      </x:c>
      <x:c r="I238" s="18" t="n">
        <x:v>6.17</x:v>
      </x:c>
      <x:c r="J238" s="18" t="n">
        <x:v>5.33</x:v>
      </x:c>
      <x:c r="K238" s="18" t="n">
        <x:v>5.67</x:v>
      </x:c>
      <x:c r="L238" s="18" t="n">
        <x:v>5</x:v>
      </x:c>
      <x:c r="M238" s="18" t="n">
        <x:v>5.67</x:v>
      </x:c>
      <x:c r="N238" s="12" t="str">
        <x:v>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x:v>
      </x:c>
      <x:c r="O238" s="12" t="str">
        <x:v>https://www.onetonline.org/link/summary/11-2021.00</x:v>
      </x:c>
      <x:c r="P238" s="12" t="str">
        <x:v>Management occupations minus top executives and separately listed computer, engineering, health, natural-science and education managers.</x:v>
      </x:c>
    </x:row>
    <x:row r="239" ht="50.25" customHeight="1">
      <x:c r="A239" s="15" t="str">
        <x:v>711470</x:v>
      </x:c>
      <x:c r="B239" s="12" t="str">
        <x:v>Other mid-level managers</x:v>
      </x:c>
      <x:c r="C239" s="35" t="str">
        <x:v>11-2022.00</x:v>
      </x:c>
      <x:c r="D239" s="12" t="str">
        <x:v>Sales Managers</x:v>
      </x:c>
      <x:c r="E239" s="2" t="str">
        <x:v>Include</x:v>
      </x:c>
      <x:c r="F239" s="2" t="str">
        <x:v>Yes</x:v>
      </x:c>
      <x:c r="G239" s="15" t="str">
        <x:v>6/6</x:v>
      </x:c>
      <x:c r="H239" s="18" t="n">
        <x:v>5.33</x:v>
      </x:c>
      <x:c r="I239" s="18" t="n">
        <x:v>5.5</x:v>
      </x:c>
      <x:c r="J239" s="18" t="n">
        <x:v>4.67</x:v>
      </x:c>
      <x:c r="K239" s="18" t="n">
        <x:v>4</x:v>
      </x:c>
      <x:c r="L239" s="18" t="n">
        <x:v>5.33</x:v>
      </x:c>
      <x:c r="M239" s="18" t="n">
        <x:v>5.67</x:v>
      </x:c>
      <x:c r="N239" s="12" t="str">
        <x:v>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x:v>
      </x:c>
      <x:c r="O239" s="12" t="str">
        <x:v>https://www.onetonline.org/link/summary/11-2022.00</x:v>
      </x:c>
      <x:c r="P239" s="12" t="str">
        <x:v>Management occupations minus top executives and separately listed computer, engineering, health, natural-science and education managers.</x:v>
      </x:c>
    </x:row>
    <x:row r="240" ht="50.25" customHeight="1">
      <x:c r="A240" s="15" t="str">
        <x:v>711470</x:v>
      </x:c>
      <x:c r="B240" s="12" t="str">
        <x:v>Other mid-level managers</x:v>
      </x:c>
      <x:c r="C240" s="35" t="str">
        <x:v>11-2032.00</x:v>
      </x:c>
      <x:c r="D240" s="12" t="str">
        <x:v>Public Relations Managers</x:v>
      </x:c>
      <x:c r="E240" s="2" t="str">
        <x:v>Exclude (no Work Values)</x:v>
      </x:c>
      <x:c r="F240" s="2" t="str">
        <x:v>Yes</x:v>
      </x:c>
      <x:c r="G240" s="15" t="str">
        <x:v>0/6</x:v>
      </x:c>
      <x:c r="H240" s="18"/>
      <x:c r="I240" s="18"/>
      <x:c r="J240" s="18"/>
      <x:c r="K240" s="18"/>
      <x:c r="L240" s="18"/>
      <x:c r="M240" s="18"/>
      <x:c r="N240" s="12" t="str">
        <x:v>Plan, direct, or coordinate activities designed to create or maintain a favorable public image or raise issue awareness for their organization or client.</x:v>
      </x:c>
      <x:c r="O240" s="12" t="str">
        <x:v>https://www.onetonline.org/link/summary/11-2032.00</x:v>
      </x:c>
      <x:c r="P240" s="12" t="str">
        <x:v>Management occupations minus top executives and separately listed computer, engineering, health, natural-science and education managers.</x:v>
      </x:c>
    </x:row>
    <x:row r="241" ht="50.25" customHeight="1">
      <x:c r="A241" s="15" t="str">
        <x:v>711470</x:v>
      </x:c>
      <x:c r="B241" s="12" t="str">
        <x:v>Other mid-level managers</x:v>
      </x:c>
      <x:c r="C241" s="35" t="str">
        <x:v>11-2033.00</x:v>
      </x:c>
      <x:c r="D241" s="12" t="str">
        <x:v>Fundraising Managers</x:v>
      </x:c>
      <x:c r="E241" s="2" t="str">
        <x:v>Exclude (no Work Values)</x:v>
      </x:c>
      <x:c r="F241" s="2" t="str">
        <x:v>Yes</x:v>
      </x:c>
      <x:c r="G241" s="15" t="str">
        <x:v>0/6</x:v>
      </x:c>
      <x:c r="H241" s="18"/>
      <x:c r="I241" s="18"/>
      <x:c r="J241" s="18"/>
      <x:c r="K241" s="18"/>
      <x:c r="L241" s="18"/>
      <x:c r="M241" s="18"/>
      <x:c r="N241" s="12" t="str">
        <x:v>Plan, direct, or coordinate activities to solicit and maintain funds for special projects or nonprofit organizations.</x:v>
      </x:c>
      <x:c r="O241" s="12" t="str">
        <x:v>https://www.onetonline.org/link/summary/11-2033.00</x:v>
      </x:c>
      <x:c r="P241" s="12" t="str">
        <x:v>Management occupations minus top executives and separately listed computer, engineering, health, natural-science and education managers.</x:v>
      </x:c>
    </x:row>
    <x:row r="242" ht="50.25" customHeight="1">
      <x:c r="A242" s="15" t="str">
        <x:v>711470</x:v>
      </x:c>
      <x:c r="B242" s="12" t="str">
        <x:v>Other mid-level managers</x:v>
      </x:c>
      <x:c r="C242" s="35" t="str">
        <x:v>11-3012.00</x:v>
      </x:c>
      <x:c r="D242" s="12" t="str">
        <x:v>Administrative Services Managers</x:v>
      </x:c>
      <x:c r="E242" s="2" t="str">
        <x:v>Include</x:v>
      </x:c>
      <x:c r="F242" s="2" t="str">
        <x:v>Yes</x:v>
      </x:c>
      <x:c r="G242" s="15" t="str">
        <x:v>6/6</x:v>
      </x:c>
      <x:c r="H242" s="18" t="n">
        <x:v>4.67</x:v>
      </x:c>
      <x:c r="I242" s="18" t="n">
        <x:v>4.67</x:v>
      </x:c>
      <x:c r="J242" s="18" t="n">
        <x:v>4.67</x:v>
      </x:c>
      <x:c r="K242" s="18" t="n">
        <x:v>6.33</x:v>
      </x:c>
      <x:c r="L242" s="18" t="n">
        <x:v>4</x:v>
      </x:c>
      <x:c r="M242" s="18" t="n">
        <x:v>5.67</x:v>
      </x:c>
      <x:c r="N242" s="12" t="str">
        <x:v>Plan, direct, or coordinate one or more administrative services of an organization, such as records and information management, mail distribution, and other office support services.</x:v>
      </x:c>
      <x:c r="O242" s="12" t="str">
        <x:v>https://www.onetonline.org/link/summary/11-3012.00</x:v>
      </x:c>
      <x:c r="P242" s="12" t="str">
        <x:v>Management occupations minus top executives and separately listed computer, engineering, health, natural-science and education managers.</x:v>
      </x:c>
    </x:row>
    <x:row r="243" ht="50.25" customHeight="1">
      <x:c r="A243" s="15" t="str">
        <x:v>711470</x:v>
      </x:c>
      <x:c r="B243" s="12" t="str">
        <x:v>Other mid-level managers</x:v>
      </x:c>
      <x:c r="C243" s="35" t="str">
        <x:v>11-3013.00</x:v>
      </x:c>
      <x:c r="D243" s="12" t="str">
        <x:v>Facilities Managers</x:v>
      </x:c>
      <x:c r="E243" s="2" t="str">
        <x:v>Exclude (no Work Values)</x:v>
      </x:c>
      <x:c r="F243" s="2" t="str">
        <x:v>Yes</x:v>
      </x:c>
      <x:c r="G243" s="15" t="str">
        <x:v>0/6</x:v>
      </x:c>
      <x:c r="H243" s="18"/>
      <x:c r="I243" s="18"/>
      <x:c r="J243" s="18"/>
      <x:c r="K243" s="18"/>
      <x:c r="L243" s="18"/>
      <x:c r="M243" s="18"/>
      <x:c r="N243" s="12" t="str">
        <x:v>Plan, direct, or coordinate operations and functionalities of facilities and buildings. May include surrounding grounds or multiple facilities of an organization's campus.</x:v>
      </x:c>
      <x:c r="O243" s="12" t="str">
        <x:v>https://www.onetonline.org/link/summary/11-3013.00</x:v>
      </x:c>
      <x:c r="P243" s="12" t="str">
        <x:v>Management occupations minus top executives and separately listed computer, engineering, health, natural-science and education managers.</x:v>
      </x:c>
    </x:row>
    <x:row r="244" ht="50.25" customHeight="1">
      <x:c r="A244" s="15" t="str">
        <x:v>711470</x:v>
      </x:c>
      <x:c r="B244" s="12" t="str">
        <x:v>Other mid-level managers</x:v>
      </x:c>
      <x:c r="C244" s="35" t="str">
        <x:v>11-3031.00</x:v>
      </x:c>
      <x:c r="D244" s="12" t="str">
        <x:v>Financial Managers</x:v>
      </x:c>
      <x:c r="E244" s="2" t="str">
        <x:v>Include</x:v>
      </x:c>
      <x:c r="F244" s="2" t="str">
        <x:v>Yes</x:v>
      </x:c>
      <x:c r="G244" s="15" t="str">
        <x:v>6/6</x:v>
      </x:c>
      <x:c r="H244" s="18" t="n">
        <x:v>5.33</x:v>
      </x:c>
      <x:c r="I244" s="18" t="n">
        <x:v>6</x:v>
      </x:c>
      <x:c r="J244" s="18" t="n">
        <x:v>5.67</x:v>
      </x:c>
      <x:c r="K244" s="18" t="n">
        <x:v>5</x:v>
      </x:c>
      <x:c r="L244" s="18" t="n">
        <x:v>5</x:v>
      </x:c>
      <x:c r="M244" s="18" t="n">
        <x:v>6</x:v>
      </x:c>
      <x:c r="N244" s="12" t="str">
        <x:v>Plan, direct, or coordinate accounting, investing, banking, insurance, securities, and other financial activities of a branch, office, or department of an establishment.</x:v>
      </x:c>
      <x:c r="O244" s="12" t="str">
        <x:v>https://www.onetonline.org/link/summary/11-3031.00</x:v>
      </x:c>
      <x:c r="P244" s="12" t="str">
        <x:v>Management occupations minus top executives and separately listed computer, engineering, health, natural-science and education managers.</x:v>
      </x:c>
    </x:row>
    <x:row r="245" ht="50.25" customHeight="1">
      <x:c r="A245" s="15" t="str">
        <x:v>711470</x:v>
      </x:c>
      <x:c r="B245" s="12" t="str">
        <x:v>Other mid-level managers</x:v>
      </x:c>
      <x:c r="C245" s="35" t="str">
        <x:v>11-3051.00</x:v>
      </x:c>
      <x:c r="D245" s="12" t="str">
        <x:v>Industrial Production Managers</x:v>
      </x:c>
      <x:c r="E245" s="2" t="str">
        <x:v>Include</x:v>
      </x:c>
      <x:c r="F245" s="2" t="str">
        <x:v>Yes</x:v>
      </x:c>
      <x:c r="G245" s="15" t="str">
        <x:v>6/6</x:v>
      </x:c>
      <x:c r="H245" s="18" t="n">
        <x:v>5</x:v>
      </x:c>
      <x:c r="I245" s="18" t="n">
        <x:v>5.67</x:v>
      </x:c>
      <x:c r="J245" s="18" t="n">
        <x:v>5</x:v>
      </x:c>
      <x:c r="K245" s="18" t="n">
        <x:v>5.33</x:v>
      </x:c>
      <x:c r="L245" s="18" t="n">
        <x:v>5</x:v>
      </x:c>
      <x:c r="M245" s="18" t="n">
        <x:v>6</x:v>
      </x:c>
      <x:c r="N245" s="12" t="str">
        <x:v>Plan, direct, or coordinate the work activities and resources necessary for manufacturing products in accordance with cost, quality, and quantity specifications.</x:v>
      </x:c>
      <x:c r="O245" s="12" t="str">
        <x:v>https://www.onetonline.org/link/summary/11-3051.00</x:v>
      </x:c>
      <x:c r="P245" s="12" t="str">
        <x:v>Management occupations minus top executives and separately listed computer, engineering, health, natural-science and education managers.</x:v>
      </x:c>
    </x:row>
    <x:row r="246" ht="50.25" customHeight="1">
      <x:c r="A246" s="15" t="str">
        <x:v>711470</x:v>
      </x:c>
      <x:c r="B246" s="12" t="str">
        <x:v>Other mid-level managers</x:v>
      </x:c>
      <x:c r="C246" s="35" t="str">
        <x:v>11-3061.00</x:v>
      </x:c>
      <x:c r="D246" s="12" t="str">
        <x:v>Purchasing Managers</x:v>
      </x:c>
      <x:c r="E246" s="2" t="str">
        <x:v>Include</x:v>
      </x:c>
      <x:c r="F246" s="2" t="str">
        <x:v>Yes</x:v>
      </x:c>
      <x:c r="G246" s="15" t="str">
        <x:v>6/6</x:v>
      </x:c>
      <x:c r="H246" s="18" t="n">
        <x:v>4</x:v>
      </x:c>
      <x:c r="I246" s="18" t="n">
        <x:v>5.33</x:v>
      </x:c>
      <x:c r="J246" s="18" t="n">
        <x:v>4.33</x:v>
      </x:c>
      <x:c r="K246" s="18" t="n">
        <x:v>4</x:v>
      </x:c>
      <x:c r="L246" s="18" t="n">
        <x:v>5</x:v>
      </x:c>
      <x:c r="M246" s="18" t="n">
        <x:v>4.67</x:v>
      </x:c>
      <x:c r="N246" s="12" t="str">
        <x:v>Plan, direct, or coordinate the activities of buyers, purchasing officers, and related workers involved in purchasing materials, products, and services. Includes wholesale or retail trade merchandising managers and procurement managers.</x:v>
      </x:c>
      <x:c r="O246" s="12" t="str">
        <x:v>https://www.onetonline.org/link/summary/11-3061.00</x:v>
      </x:c>
      <x:c r="P246" s="12" t="str">
        <x:v>Management occupations minus top executives and separately listed computer, engineering, health, natural-science and education managers.</x:v>
      </x:c>
    </x:row>
    <x:row r="247" ht="50.25" customHeight="1">
      <x:c r="A247" s="15" t="str">
        <x:v>711470</x:v>
      </x:c>
      <x:c r="B247" s="12" t="str">
        <x:v>Other mid-level managers</x:v>
      </x:c>
      <x:c r="C247" s="35" t="str">
        <x:v>11-3071.00</x:v>
      </x:c>
      <x:c r="D247" s="12" t="str">
        <x:v>Transportation, Storage, and Distribution Managers</x:v>
      </x:c>
      <x:c r="E247" s="2" t="str">
        <x:v>Include</x:v>
      </x:c>
      <x:c r="F247" s="2" t="str">
        <x:v>Yes</x:v>
      </x:c>
      <x:c r="G247" s="15" t="str">
        <x:v>6/6</x:v>
      </x:c>
      <x:c r="H247" s="18" t="n">
        <x:v>4.44</x:v>
      </x:c>
      <x:c r="I247" s="18" t="n">
        <x:v>5.17</x:v>
      </x:c>
      <x:c r="J247" s="18" t="n">
        <x:v>4.22</x:v>
      </x:c>
      <x:c r="K247" s="18" t="n">
        <x:v>5.33</x:v>
      </x:c>
      <x:c r="L247" s="18" t="n">
        <x:v>4.78</x:v>
      </x:c>
      <x:c r="M247" s="18" t="n">
        <x:v>5.22</x:v>
      </x:c>
      <x:c r="N247" s="12" t="str">
        <x:v>Plan, direct, or coordinate transportation, storage, or distribution activities in accordance with organizational policies and applicable government laws or regulations. Includes logistics managers.</x:v>
      </x:c>
      <x:c r="O247" s="12" t="str">
        <x:v>https://www.onetonline.org/link/summary/11-3071.00</x:v>
      </x:c>
      <x:c r="P247" s="12" t="str">
        <x:v>Management occupations minus top executives and separately listed computer, engineering, health, natural-science and education managers.</x:v>
      </x:c>
    </x:row>
    <x:row r="248" ht="50.25" customHeight="1">
      <x:c r="A248" s="15" t="str">
        <x:v>711470</x:v>
      </x:c>
      <x:c r="B248" s="12" t="str">
        <x:v>Other mid-level managers</x:v>
      </x:c>
      <x:c r="C248" s="35" t="str">
        <x:v>11-3111.00</x:v>
      </x:c>
      <x:c r="D248" s="12" t="str">
        <x:v>Compensation and Benefits Managers</x:v>
      </x:c>
      <x:c r="E248" s="2" t="str">
        <x:v>Include</x:v>
      </x:c>
      <x:c r="F248" s="2" t="str">
        <x:v>Yes</x:v>
      </x:c>
      <x:c r="G248" s="15" t="str">
        <x:v>6/6</x:v>
      </x:c>
      <x:c r="H248" s="18" t="n">
        <x:v>5.33</x:v>
      </x:c>
      <x:c r="I248" s="18" t="n">
        <x:v>5.67</x:v>
      </x:c>
      <x:c r="J248" s="18" t="n">
        <x:v>5</x:v>
      </x:c>
      <x:c r="K248" s="18" t="n">
        <x:v>6</x:v>
      </x:c>
      <x:c r="L248" s="18" t="n">
        <x:v>5.67</x:v>
      </x:c>
      <x:c r="M248" s="18" t="n">
        <x:v>5.67</x:v>
      </x:c>
      <x:c r="N248" s="12" t="str">
        <x:v>Plan, direct, or coordinate compensation and benefits activities of an organization.</x:v>
      </x:c>
      <x:c r="O248" s="12" t="str">
        <x:v>https://www.onetonline.org/link/summary/11-3111.00</x:v>
      </x:c>
      <x:c r="P248" s="12" t="str">
        <x:v>Management occupations minus top executives and separately listed computer, engineering, health, natural-science and education managers.</x:v>
      </x:c>
    </x:row>
    <x:row r="249" ht="50.25" customHeight="1">
      <x:c r="A249" s="15" t="str">
        <x:v>711470</x:v>
      </x:c>
      <x:c r="B249" s="12" t="str">
        <x:v>Other mid-level managers</x:v>
      </x:c>
      <x:c r="C249" s="35" t="str">
        <x:v>11-3121.00</x:v>
      </x:c>
      <x:c r="D249" s="12" t="str">
        <x:v>Human Resources Managers</x:v>
      </x:c>
      <x:c r="E249" s="2" t="str">
        <x:v>Include</x:v>
      </x:c>
      <x:c r="F249" s="2" t="str">
        <x:v>Yes</x:v>
      </x:c>
      <x:c r="G249" s="15" t="str">
        <x:v>6/6</x:v>
      </x:c>
      <x:c r="H249" s="18" t="n">
        <x:v>5.33</x:v>
      </x:c>
      <x:c r="I249" s="18" t="n">
        <x:v>5.33</x:v>
      </x:c>
      <x:c r="J249" s="18" t="n">
        <x:v>5.67</x:v>
      </x:c>
      <x:c r="K249" s="18" t="n">
        <x:v>6</x:v>
      </x:c>
      <x:c r="L249" s="18" t="n">
        <x:v>4.33</x:v>
      </x:c>
      <x:c r="M249" s="18" t="n">
        <x:v>5</x:v>
      </x:c>
      <x:c r="N249" s="12" t="str">
        <x:v>Plan, direct, or coordinate human resources activities and staff of an organization.</x:v>
      </x:c>
      <x:c r="O249" s="12" t="str">
        <x:v>https://www.onetonline.org/link/summary/11-3121.00</x:v>
      </x:c>
      <x:c r="P249" s="12" t="str">
        <x:v>Management occupations minus top executives and separately listed computer, engineering, health, natural-science and education managers.</x:v>
      </x:c>
    </x:row>
    <x:row r="250" ht="50.25" customHeight="1">
      <x:c r="A250" s="15" t="str">
        <x:v>711470</x:v>
      </x:c>
      <x:c r="B250" s="12" t="str">
        <x:v>Other mid-level managers</x:v>
      </x:c>
      <x:c r="C250" s="35" t="str">
        <x:v>11-3131.00</x:v>
      </x:c>
      <x:c r="D250" s="12" t="str">
        <x:v>Training and Development Managers</x:v>
      </x:c>
      <x:c r="E250" s="2" t="str">
        <x:v>Include</x:v>
      </x:c>
      <x:c r="F250" s="2" t="str">
        <x:v>Yes</x:v>
      </x:c>
      <x:c r="G250" s="15" t="str">
        <x:v>6/6</x:v>
      </x:c>
      <x:c r="H250" s="18" t="n">
        <x:v>5.33</x:v>
      </x:c>
      <x:c r="I250" s="18" t="n">
        <x:v>5.67</x:v>
      </x:c>
      <x:c r="J250" s="18" t="n">
        <x:v>5</x:v>
      </x:c>
      <x:c r="K250" s="18" t="n">
        <x:v>6</x:v>
      </x:c>
      <x:c r="L250" s="18" t="n">
        <x:v>4</x:v>
      </x:c>
      <x:c r="M250" s="18" t="n">
        <x:v>5.33</x:v>
      </x:c>
      <x:c r="N250" s="12" t="str">
        <x:v>Plan, direct, or coordinate the training and development activities and staff of an organization.</x:v>
      </x:c>
      <x:c r="O250" s="12" t="str">
        <x:v>https://www.onetonline.org/link/summary/11-3131.00</x:v>
      </x:c>
      <x:c r="P250" s="12" t="str">
        <x:v>Management occupations minus top executives and separately listed computer, engineering, health, natural-science and education managers.</x:v>
      </x:c>
    </x:row>
    <x:row r="251" ht="50.25" customHeight="1">
      <x:c r="A251" s="15" t="str">
        <x:v>711470</x:v>
      </x:c>
      <x:c r="B251" s="12" t="str">
        <x:v>Other mid-level managers</x:v>
      </x:c>
      <x:c r="C251" s="35" t="str">
        <x:v>11-9013.00</x:v>
      </x:c>
      <x:c r="D251" s="12" t="str">
        <x:v>Farmers, Ranchers, and Other Agricultural Managers</x:v>
      </x:c>
      <x:c r="E251" s="2" t="str">
        <x:v>Include</x:v>
      </x:c>
      <x:c r="F251" s="2" t="str">
        <x:v>Yes</x:v>
      </x:c>
      <x:c r="G251" s="15" t="str">
        <x:v>6/6</x:v>
      </x:c>
      <x:c r="H251" s="18" t="n">
        <x:v>4.89</x:v>
      </x:c>
      <x:c r="I251" s="18" t="n">
        <x:v>4.67</x:v>
      </x:c>
      <x:c r="J251" s="18" t="n">
        <x:v>4.44</x:v>
      </x:c>
      <x:c r="K251" s="18" t="n">
        <x:v>4.66</x:v>
      </x:c>
      <x:c r="L251" s="18" t="n">
        <x:v>3.22</x:v>
      </x:c>
      <x:c r="M251" s="18" t="n">
        <x:v>5.22</x:v>
      </x:c>
      <x:c r="N251" s="12" t="str">
        <x:v>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x:v>
      </x:c>
      <x:c r="O251" s="12" t="str">
        <x:v>https://www.onetonline.org/link/summary/11-9013.00</x:v>
      </x:c>
      <x:c r="P251" s="12" t="str">
        <x:v>Management occupations minus top executives and separately listed computer, engineering, health, natural-science and education managers.</x:v>
      </x:c>
    </x:row>
    <x:row r="252" ht="50.25" customHeight="1">
      <x:c r="A252" s="15" t="str">
        <x:v>711470</x:v>
      </x:c>
      <x:c r="B252" s="12" t="str">
        <x:v>Other mid-level managers</x:v>
      </x:c>
      <x:c r="C252" s="35" t="str">
        <x:v>11-9021.00</x:v>
      </x:c>
      <x:c r="D252" s="12" t="str">
        <x:v>Construction Managers</x:v>
      </x:c>
      <x:c r="E252" s="2" t="str">
        <x:v>Include</x:v>
      </x:c>
      <x:c r="F252" s="2" t="str">
        <x:v>Yes</x:v>
      </x:c>
      <x:c r="G252" s="15" t="str">
        <x:v>6/6</x:v>
      </x:c>
      <x:c r="H252" s="18" t="n">
        <x:v>5.33</x:v>
      </x:c>
      <x:c r="I252" s="18" t="n">
        <x:v>5.83</x:v>
      </x:c>
      <x:c r="J252" s="18" t="n">
        <x:v>4.67</x:v>
      </x:c>
      <x:c r="K252" s="18" t="n">
        <x:v>5</x:v>
      </x:c>
      <x:c r="L252" s="18" t="n">
        <x:v>5.33</x:v>
      </x:c>
      <x:c r="M252" s="18" t="n">
        <x:v>5.67</x:v>
      </x:c>
      <x:c r="N252" s="12" t="str">
        <x:v>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x:v>
      </x:c>
      <x:c r="O252" s="12" t="str">
        <x:v>https://www.onetonline.org/link/summary/11-9021.00</x:v>
      </x:c>
      <x:c r="P252" s="12" t="str">
        <x:v>Management occupations minus top executives and separately listed computer, engineering, health, natural-science and education managers.</x:v>
      </x:c>
    </x:row>
    <x:row r="253" ht="50.25" customHeight="1">
      <x:c r="A253" s="15" t="str">
        <x:v>711470</x:v>
      </x:c>
      <x:c r="B253" s="12" t="str">
        <x:v>Other mid-level managers</x:v>
      </x:c>
      <x:c r="C253" s="35" t="str">
        <x:v>11-9051.00</x:v>
      </x:c>
      <x:c r="D253" s="12" t="str">
        <x:v>Food Service Managers</x:v>
      </x:c>
      <x:c r="E253" s="2" t="str">
        <x:v>Include</x:v>
      </x:c>
      <x:c r="F253" s="2" t="str">
        <x:v>Yes</x:v>
      </x:c>
      <x:c r="G253" s="15" t="str">
        <x:v>6/6</x:v>
      </x:c>
      <x:c r="H253" s="18" t="n">
        <x:v>4.33</x:v>
      </x:c>
      <x:c r="I253" s="18" t="n">
        <x:v>4.5</x:v>
      </x:c>
      <x:c r="J253" s="18" t="n">
        <x:v>4.33</x:v>
      </x:c>
      <x:c r="K253" s="18" t="n">
        <x:v>4.67</x:v>
      </x:c>
      <x:c r="L253" s="18" t="n">
        <x:v>4.67</x:v>
      </x:c>
      <x:c r="M253" s="18" t="n">
        <x:v>5.67</x:v>
      </x:c>
      <x:c r="N253" s="12" t="str">
        <x:v>Plan, direct, or coordinate activities of an organization or department that serves food and beverages.</x:v>
      </x:c>
      <x:c r="O253" s="12" t="str">
        <x:v>https://www.onetonline.org/link/summary/11-9051.00</x:v>
      </x:c>
      <x:c r="P253" s="12" t="str">
        <x:v>Management occupations minus top executives and separately listed computer, engineering, health, natural-science and education managers.</x:v>
      </x:c>
    </x:row>
    <x:row r="254" ht="50.25" customHeight="1">
      <x:c r="A254" s="15" t="str">
        <x:v>711470</x:v>
      </x:c>
      <x:c r="B254" s="12" t="str">
        <x:v>Other mid-level managers</x:v>
      </x:c>
      <x:c r="C254" s="35" t="str">
        <x:v>11-9071.00</x:v>
      </x:c>
      <x:c r="D254" s="12" t="str">
        <x:v>Gambling Managers</x:v>
      </x:c>
      <x:c r="E254" s="2" t="str">
        <x:v>Include</x:v>
      </x:c>
      <x:c r="F254" s="2" t="str">
        <x:v>Yes</x:v>
      </x:c>
      <x:c r="G254" s="15" t="str">
        <x:v>6/6</x:v>
      </x:c>
      <x:c r="H254" s="18" t="n">
        <x:v>5</x:v>
      </x:c>
      <x:c r="I254" s="18" t="n">
        <x:v>5.17</x:v>
      </x:c>
      <x:c r="J254" s="18" t="n">
        <x:v>4.33</x:v>
      </x:c>
      <x:c r="K254" s="18" t="n">
        <x:v>6</x:v>
      </x:c>
      <x:c r="L254" s="18" t="n">
        <x:v>5</x:v>
      </x:c>
      <x:c r="M254" s="18" t="n">
        <x:v>6</x:v>
      </x:c>
      <x:c r="N254" s="12" t="str">
        <x:v>Plan, direct, or coordinate gambling operations in a casino. May formulate house rules.</x:v>
      </x:c>
      <x:c r="O254" s="12" t="str">
        <x:v>https://www.onetonline.org/link/summary/11-9071.00</x:v>
      </x:c>
      <x:c r="P254" s="12" t="str">
        <x:v>Management occupations minus top executives and separately listed computer, engineering, health, natural-science and education managers.</x:v>
      </x:c>
    </x:row>
    <x:row r="255" ht="50.25" customHeight="1">
      <x:c r="A255" s="15" t="str">
        <x:v>711470</x:v>
      </x:c>
      <x:c r="B255" s="12" t="str">
        <x:v>Other mid-level managers</x:v>
      </x:c>
      <x:c r="C255" s="35" t="str">
        <x:v>11-9072.00</x:v>
      </x:c>
      <x:c r="D255" s="12" t="str">
        <x:v>Entertainment and Recreation Managers, Except Gambling</x:v>
      </x:c>
      <x:c r="E255" s="2" t="str">
        <x:v>Exclude (no Work Values)</x:v>
      </x:c>
      <x:c r="F255" s="2" t="str">
        <x:v>Yes</x:v>
      </x:c>
      <x:c r="G255" s="15" t="str">
        <x:v>0/6</x:v>
      </x:c>
      <x:c r="H255" s="18"/>
      <x:c r="I255" s="18"/>
      <x:c r="J255" s="18"/>
      <x:c r="K255" s="18"/>
      <x:c r="L255" s="18"/>
      <x:c r="M255" s="18"/>
      <x:c r="N255" s="12" t="str">
        <x:v>Plan, direct, or coordinate entertainment and recreational activities and operations of a recreational facility, including cruise ships and parks.</x:v>
      </x:c>
      <x:c r="O255" s="12" t="str">
        <x:v>https://www.onetonline.org/link/summary/11-9072.00</x:v>
      </x:c>
      <x:c r="P255" s="12" t="str">
        <x:v>Management occupations minus top executives and separately listed computer, engineering, health, natural-science and education managers.</x:v>
      </x:c>
    </x:row>
    <x:row r="256" ht="50.25" customHeight="1">
      <x:c r="A256" s="15" t="str">
        <x:v>711470</x:v>
      </x:c>
      <x:c r="B256" s="12" t="str">
        <x:v>Other mid-level managers</x:v>
      </x:c>
      <x:c r="C256" s="35" t="str">
        <x:v>11-9081.00</x:v>
      </x:c>
      <x:c r="D256" s="12" t="str">
        <x:v>Lodging Managers</x:v>
      </x:c>
      <x:c r="E256" s="2" t="str">
        <x:v>Include</x:v>
      </x:c>
      <x:c r="F256" s="2" t="str">
        <x:v>Yes</x:v>
      </x:c>
      <x:c r="G256" s="15" t="str">
        <x:v>6/6</x:v>
      </x:c>
      <x:c r="H256" s="18" t="n">
        <x:v>5</x:v>
      </x:c>
      <x:c r="I256" s="18" t="n">
        <x:v>4.17</x:v>
      </x:c>
      <x:c r="J256" s="18" t="n">
        <x:v>4.33</x:v>
      </x:c>
      <x:c r="K256" s="18" t="n">
        <x:v>7</x:v>
      </x:c>
      <x:c r="L256" s="18" t="n">
        <x:v>4</x:v>
      </x:c>
      <x:c r="M256" s="18" t="n">
        <x:v>6</x:v>
      </x:c>
      <x:c r="N256" s="12" t="str">
        <x:v>Plan, direct, or coordinate activities of an organization or department that provides lodging and other accommodations.</x:v>
      </x:c>
      <x:c r="O256" s="12" t="str">
        <x:v>https://www.onetonline.org/link/summary/11-9081.00</x:v>
      </x:c>
      <x:c r="P256" s="12" t="str">
        <x:v>Management occupations minus top executives and separately listed computer, engineering, health, natural-science and education managers.</x:v>
      </x:c>
    </x:row>
    <x:row r="257" ht="50.25" customHeight="1">
      <x:c r="A257" s="15" t="str">
        <x:v>711470</x:v>
      </x:c>
      <x:c r="B257" s="12" t="str">
        <x:v>Other mid-level managers</x:v>
      </x:c>
      <x:c r="C257" s="35" t="str">
        <x:v>11-9131.00</x:v>
      </x:c>
      <x:c r="D257" s="12" t="str">
        <x:v>Postmasters and Mail Superintendents</x:v>
      </x:c>
      <x:c r="E257" s="2" t="str">
        <x:v>Include</x:v>
      </x:c>
      <x:c r="F257" s="2" t="str">
        <x:v>Yes</x:v>
      </x:c>
      <x:c r="G257" s="15" t="str">
        <x:v>6/6</x:v>
      </x:c>
      <x:c r="H257" s="18" t="n">
        <x:v>4</x:v>
      </x:c>
      <x:c r="I257" s="18" t="n">
        <x:v>5</x:v>
      </x:c>
      <x:c r="J257" s="18" t="n">
        <x:v>4</x:v>
      </x:c>
      <x:c r="K257" s="18" t="n">
        <x:v>4.67</x:v>
      </x:c>
      <x:c r="L257" s="18" t="n">
        <x:v>5.33</x:v>
      </x:c>
      <x:c r="M257" s="18" t="n">
        <x:v>5.67</x:v>
      </x:c>
      <x:c r="N257" s="12" t="str">
        <x:v>Plan, direct, or coordinate operational, administrative, management, and support services of a U.S. post office; or coordinate activities of workers engaged in postal and related work in assigned post office.</x:v>
      </x:c>
      <x:c r="O257" s="12" t="str">
        <x:v>https://www.onetonline.org/link/summary/11-9131.00</x:v>
      </x:c>
      <x:c r="P257" s="12" t="str">
        <x:v>Management occupations minus top executives and separately listed computer, engineering, health, natural-science and education managers.</x:v>
      </x:c>
    </x:row>
    <x:row r="258" ht="50.25" customHeight="1">
      <x:c r="A258" s="15" t="str">
        <x:v>711470</x:v>
      </x:c>
      <x:c r="B258" s="12" t="str">
        <x:v>Other mid-level managers</x:v>
      </x:c>
      <x:c r="C258" s="35" t="str">
        <x:v>11-9141.00</x:v>
      </x:c>
      <x:c r="D258" s="12" t="str">
        <x:v>Property, Real Estate, and Community Association Managers</x:v>
      </x:c>
      <x:c r="E258" s="2" t="str">
        <x:v>Include</x:v>
      </x:c>
      <x:c r="F258" s="2" t="str">
        <x:v>Yes</x:v>
      </x:c>
      <x:c r="G258" s="15" t="str">
        <x:v>6/6</x:v>
      </x:c>
      <x:c r="H258" s="18" t="n">
        <x:v>5</x:v>
      </x:c>
      <x:c r="I258" s="18" t="n">
        <x:v>4.83</x:v>
      </x:c>
      <x:c r="J258" s="18" t="n">
        <x:v>4.33</x:v>
      </x:c>
      <x:c r="K258" s="18" t="n">
        <x:v>4.33</x:v>
      </x:c>
      <x:c r="L258" s="18" t="n">
        <x:v>3.67</x:v>
      </x:c>
      <x:c r="M258" s="18" t="n">
        <x:v>5.67</x:v>
      </x:c>
      <x:c r="N258" s="12" t="str">
        <x:v>Plan, direct, or coordinate the selling, buying, leasing, or governance activities of commercial, industrial, or residential real estate properties. Includes managers of homeowner and condominium associations, rented or leased housing units, buildings, or land (including rights-of-way).</x:v>
      </x:c>
      <x:c r="O258" s="12" t="str">
        <x:v>https://www.onetonline.org/link/summary/11-9141.00</x:v>
      </x:c>
      <x:c r="P258" s="12" t="str">
        <x:v>Management occupations minus top executives and separately listed computer, engineering, health, natural-science and education managers.</x:v>
      </x:c>
    </x:row>
    <x:row r="259" ht="50.25" customHeight="1">
      <x:c r="A259" s="15" t="str">
        <x:v>711470</x:v>
      </x:c>
      <x:c r="B259" s="12" t="str">
        <x:v>Other mid-level managers</x:v>
      </x:c>
      <x:c r="C259" s="35" t="str">
        <x:v>11-9151.00</x:v>
      </x:c>
      <x:c r="D259" s="12" t="str">
        <x:v>Social and Community Service Managers</x:v>
      </x:c>
      <x:c r="E259" s="2" t="str">
        <x:v>Include</x:v>
      </x:c>
      <x:c r="F259" s="2" t="str">
        <x:v>Yes</x:v>
      </x:c>
      <x:c r="G259" s="15" t="str">
        <x:v>6/6</x:v>
      </x:c>
      <x:c r="H259" s="18" t="n">
        <x:v>5.33</x:v>
      </x:c>
      <x:c r="I259" s="18" t="n">
        <x:v>5.5</x:v>
      </x:c>
      <x:c r="J259" s="18" t="n">
        <x:v>5</x:v>
      </x:c>
      <x:c r="K259" s="18" t="n">
        <x:v>6.33</x:v>
      </x:c>
      <x:c r="L259" s="18" t="n">
        <x:v>4.33</x:v>
      </x:c>
      <x:c r="M259" s="18" t="n">
        <x:v>5.67</x:v>
      </x:c>
      <x:c r="N259" s="12" t="str">
        <x:v>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x:v>
      </x:c>
      <x:c r="O259" s="12" t="str">
        <x:v>https://www.onetonline.org/link/summary/11-9151.00</x:v>
      </x:c>
      <x:c r="P259" s="12" t="str">
        <x:v>Management occupations minus top executives and separately listed computer, engineering, health, natural-science and education managers.</x:v>
      </x:c>
    </x:row>
    <x:row r="260" ht="50.25" customHeight="1">
      <x:c r="A260" s="15" t="str">
        <x:v>711470</x:v>
      </x:c>
      <x:c r="B260" s="12" t="str">
        <x:v>Other mid-level managers</x:v>
      </x:c>
      <x:c r="C260" s="35" t="str">
        <x:v>11-9161.00</x:v>
      </x:c>
      <x:c r="D260" s="12" t="str">
        <x:v>Emergency Management Directors</x:v>
      </x:c>
      <x:c r="E260" s="2" t="str">
        <x:v>Include</x:v>
      </x:c>
      <x:c r="F260" s="2" t="str">
        <x:v>Yes</x:v>
      </x:c>
      <x:c r="G260" s="15" t="str">
        <x:v>6/6</x:v>
      </x:c>
      <x:c r="H260" s="18" t="n">
        <x:v>5</x:v>
      </x:c>
      <x:c r="I260" s="18" t="n">
        <x:v>5</x:v>
      </x:c>
      <x:c r="J260" s="18" t="n">
        <x:v>5</x:v>
      </x:c>
      <x:c r="K260" s="18" t="n">
        <x:v>5.33</x:v>
      </x:c>
      <x:c r="L260" s="18" t="n">
        <x:v>5</x:v>
      </x:c>
      <x:c r="M260" s="18" t="n">
        <x:v>5.67</x:v>
      </x:c>
      <x:c r="N260" s="12" t="str">
        <x:v>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x:v>
      </x:c>
      <x:c r="O260" s="12" t="str">
        <x:v>https://www.onetonline.org/link/summary/11-9161.00</x:v>
      </x:c>
      <x:c r="P260" s="12" t="str">
        <x:v>Management occupations minus top executives and separately listed computer, engineering, health, natural-science and education managers.</x:v>
      </x:c>
    </x:row>
    <x:row r="261" ht="50.25" customHeight="1">
      <x:c r="A261" s="15" t="str">
        <x:v>711470</x:v>
      </x:c>
      <x:c r="B261" s="12" t="str">
        <x:v>Other mid-level managers</x:v>
      </x:c>
      <x:c r="C261" s="35" t="str">
        <x:v>11-9171.00</x:v>
      </x:c>
      <x:c r="D261" s="12" t="str">
        <x:v>Funeral Home Managers</x:v>
      </x:c>
      <x:c r="E261" s="2" t="str">
        <x:v>Include</x:v>
      </x:c>
      <x:c r="F261" s="2" t="str">
        <x:v>Yes</x:v>
      </x:c>
      <x:c r="G261" s="15" t="str">
        <x:v>6/6</x:v>
      </x:c>
      <x:c r="H261" s="18" t="n">
        <x:v>5.67</x:v>
      </x:c>
      <x:c r="I261" s="18" t="n">
        <x:v>4.83</x:v>
      </x:c>
      <x:c r="J261" s="18" t="n">
        <x:v>5</x:v>
      </x:c>
      <x:c r="K261" s="18" t="n">
        <x:v>6.33</x:v>
      </x:c>
      <x:c r="L261" s="18" t="n">
        <x:v>2.67</x:v>
      </x:c>
      <x:c r="M261" s="18" t="n">
        <x:v>5.33</x:v>
      </x:c>
      <x:c r="N261" s="12" t="str">
        <x:v>Plan, direct, or coordinate the services or resources of funeral homes. Includes activities such as determining prices for services or merchandise and managing the facilities of funeral homes.</x:v>
      </x:c>
      <x:c r="O261" s="12" t="str">
        <x:v>https://www.onetonline.org/link/summary/11-9171.00</x:v>
      </x:c>
      <x:c r="P261" s="12" t="str">
        <x:v>Management occupations minus top executives and separately listed computer, engineering, health, natural-science and education managers.</x:v>
      </x:c>
    </x:row>
    <x:row r="262" ht="50.25" customHeight="1">
      <x:c r="A262" s="15" t="str">
        <x:v>711470</x:v>
      </x:c>
      <x:c r="B262" s="12" t="str">
        <x:v>Other mid-level managers</x:v>
      </x:c>
      <x:c r="C262" s="35" t="str">
        <x:v>11-9179.00</x:v>
      </x:c>
      <x:c r="D262" s="12" t="str">
        <x:v>Personal Service Managers, All Other</x:v>
      </x:c>
      <x:c r="E262" s="2" t="str">
        <x:v>Exclude (no Work Values)</x:v>
      </x:c>
      <x:c r="F262" s="2" t="str">
        <x:v>Yes</x:v>
      </x:c>
      <x:c r="G262" s="15" t="str">
        <x:v>0/6</x:v>
      </x:c>
      <x:c r="H262" s="18"/>
      <x:c r="I262" s="18"/>
      <x:c r="J262" s="18"/>
      <x:c r="K262" s="18"/>
      <x:c r="L262" s="18"/>
      <x:c r="M262" s="18"/>
      <x:c r="N262" s="12" t="str">
        <x:v>All personal service managers not listed separately.</x:v>
      </x:c>
      <x:c r="O262" s="12" t="str">
        <x:v>https://www.onetonline.org/link/summary/11-9179.00</x:v>
      </x:c>
      <x:c r="P262" s="12" t="str">
        <x:v>Management occupations minus top executives and separately listed computer, engineering, health, natural-science and education managers.</x:v>
      </x:c>
    </x:row>
    <x:row r="263" ht="50.25" customHeight="1">
      <x:c r="A263" s="15" t="str">
        <x:v>711470</x:v>
      </x:c>
      <x:c r="B263" s="12" t="str">
        <x:v>Other mid-level managers</x:v>
      </x:c>
      <x:c r="C263" s="35" t="str">
        <x:v>11-9199.00</x:v>
      </x:c>
      <x:c r="D263" s="12" t="str">
        <x:v>Managers, All Other</x:v>
      </x:c>
      <x:c r="E263" s="2" t="str">
        <x:v>Exclude (no Work Values)</x:v>
      </x:c>
      <x:c r="F263" s="2" t="str">
        <x:v>Yes</x:v>
      </x:c>
      <x:c r="G263" s="15" t="str">
        <x:v>0/6</x:v>
      </x:c>
      <x:c r="H263" s="18"/>
      <x:c r="I263" s="18"/>
      <x:c r="J263" s="18"/>
      <x:c r="K263" s="18"/>
      <x:c r="L263" s="18"/>
      <x:c r="M263" s="18"/>
      <x:c r="N263" s="12" t="str">
        <x:v>All managers not listed separately.</x:v>
      </x:c>
      <x:c r="O263" s="12" t="str">
        <x:v>https://www.onetonline.org/link/summary/11-9199.00</x:v>
      </x:c>
      <x:c r="P263" s="12" t="str">
        <x:v>Management occupations minus top executives and separately listed computer, engineering, health, natural-science and education managers.</x:v>
      </x:c>
    </x:row>
    <x:row r="264" ht="37.5" customHeight="1">
      <x:c r="A264" s="15" t="str">
        <x:v>721510</x:v>
      </x:c>
      <x:c r="B264" s="12" t="str">
        <x:v>Financial specialists (e.g., accountants, auditors)</x:v>
      </x:c>
      <x:c r="C264" s="35" t="str">
        <x:v>13-2011.00</x:v>
      </x:c>
      <x:c r="D264" s="12" t="str">
        <x:v>Accountants and Auditors</x:v>
      </x:c>
      <x:c r="E264" s="2" t="str">
        <x:v>Include</x:v>
      </x:c>
      <x:c r="F264" s="2" t="str">
        <x:v>Yes</x:v>
      </x:c>
      <x:c r="G264" s="15" t="str">
        <x:v>6/6</x:v>
      </x:c>
      <x:c r="H264" s="18" t="n">
        <x:v>5</x:v>
      </x:c>
      <x:c r="I264" s="18" t="n">
        <x:v>4.5</x:v>
      </x:c>
      <x:c r="J264" s="18" t="n">
        <x:v>4.67</x:v>
      </x:c>
      <x:c r="K264" s="18" t="n">
        <x:v>4.67</x:v>
      </x:c>
      <x:c r="L264" s="18" t="n">
        <x:v>4.67</x:v>
      </x:c>
      <x:c r="M264" s="18" t="n">
        <x:v>5</x:v>
      </x:c>
      <x:c r="N264" s="12" t="str">
        <x:v>Examine, analyze, and interpret accounting records to prepare financial statements, give advice, or audit and evaluate statements prepared by others. Install or advise on systems of recording costs or other financial and budgetary data.</x:v>
      </x:c>
      <x:c r="O264" s="12" t="str">
        <x:v>https://www.onetonline.org/link/summary/13-2011.00</x:v>
      </x:c>
      <x:c r="P264" s="12" t="str">
        <x:v>All 15 detailed SOC13-2000 occupations; 13-2099 is only the residual member.</x:v>
      </x:c>
    </x:row>
    <x:row r="265" ht="37.5" customHeight="1">
      <x:c r="A265" s="15" t="str">
        <x:v>721510</x:v>
      </x:c>
      <x:c r="B265" s="12" t="str">
        <x:v>Financial specialists (e.g., accountants, auditors)</x:v>
      </x:c>
      <x:c r="C265" s="35" t="str">
        <x:v>13-2022.00</x:v>
      </x:c>
      <x:c r="D265" s="12" t="str">
        <x:v>Appraisers of Personal and Business Property</x:v>
      </x:c>
      <x:c r="E265" s="2" t="str">
        <x:v>Exclude (no Work Values)</x:v>
      </x:c>
      <x:c r="F265" s="2" t="str">
        <x:v>Yes</x:v>
      </x:c>
      <x:c r="G265" s="15" t="str">
        <x:v>0/6</x:v>
      </x:c>
      <x:c r="H265" s="18"/>
      <x:c r="I265" s="18"/>
      <x:c r="J265" s="18"/>
      <x:c r="K265" s="18"/>
      <x:c r="L265" s="18"/>
      <x:c r="M265" s="18"/>
      <x:c r="N265" s="12" t="str">
        <x:v>Appraise and estimate the fair value of tangible personal or business property, such as jewelry, art, antiques, collectibles, and equipment. May also appraise land.</x:v>
      </x:c>
      <x:c r="O265" s="12" t="str">
        <x:v>https://www.onetonline.org/link/summary/13-2022.00</x:v>
      </x:c>
      <x:c r="P265" s="12" t="str">
        <x:v>All 15 detailed SOC13-2000 occupations; 13-2099 is only the residual member.</x:v>
      </x:c>
    </x:row>
    <x:row r="266" ht="37.5" customHeight="1">
      <x:c r="A266" s="15" t="str">
        <x:v>721510</x:v>
      </x:c>
      <x:c r="B266" s="12" t="str">
        <x:v>Financial specialists (e.g., accountants, auditors)</x:v>
      </x:c>
      <x:c r="C266" s="35" t="str">
        <x:v>13-2023.00</x:v>
      </x:c>
      <x:c r="D266" s="12" t="str">
        <x:v>Appraisers and Assessors of Real Estate</x:v>
      </x:c>
      <x:c r="E266" s="2" t="str">
        <x:v>Include</x:v>
      </x:c>
      <x:c r="F266" s="2" t="str">
        <x:v>Yes</x:v>
      </x:c>
      <x:c r="G266" s="15" t="str">
        <x:v>6/6</x:v>
      </x:c>
      <x:c r="H266" s="18" t="n">
        <x:v>3.67</x:v>
      </x:c>
      <x:c r="I266" s="18" t="n">
        <x:v>4.08</x:v>
      </x:c>
      <x:c r="J266" s="18" t="n">
        <x:v>3.67</x:v>
      </x:c>
      <x:c r="K266" s="18" t="n">
        <x:v>3.5</x:v>
      </x:c>
      <x:c r="L266" s="18" t="n">
        <x:v>4.5</x:v>
      </x:c>
      <x:c r="M266" s="18" t="n">
        <x:v>4.83</x:v>
      </x:c>
      <x:c r="N266" s="12" t="str">
        <x:v>Appraise real estate, exclusively, and estimate its fair value. May assess taxes in accordance with prescribed schedules.</x:v>
      </x:c>
      <x:c r="O266" s="12" t="str">
        <x:v>https://www.onetonline.org/link/summary/13-2023.00</x:v>
      </x:c>
      <x:c r="P266" s="12" t="str">
        <x:v>All 15 detailed SOC13-2000 occupations; 13-2099 is only the residual member.</x:v>
      </x:c>
    </x:row>
    <x:row r="267" ht="37.5" customHeight="1">
      <x:c r="A267" s="15" t="str">
        <x:v>721510</x:v>
      </x:c>
      <x:c r="B267" s="12" t="str">
        <x:v>Financial specialists (e.g., accountants, auditors)</x:v>
      </x:c>
      <x:c r="C267" s="35" t="str">
        <x:v>13-2031.00</x:v>
      </x:c>
      <x:c r="D267" s="12" t="str">
        <x:v>Budget Analysts</x:v>
      </x:c>
      <x:c r="E267" s="2" t="str">
        <x:v>Include</x:v>
      </x:c>
      <x:c r="F267" s="2" t="str">
        <x:v>Yes</x:v>
      </x:c>
      <x:c r="G267" s="15" t="str">
        <x:v>6/6</x:v>
      </x:c>
      <x:c r="H267" s="18" t="n">
        <x:v>4</x:v>
      </x:c>
      <x:c r="I267" s="18" t="n">
        <x:v>5.33</x:v>
      </x:c>
      <x:c r="J267" s="18" t="n">
        <x:v>4</x:v>
      </x:c>
      <x:c r="K267" s="18" t="n">
        <x:v>3.67</x:v>
      </x:c>
      <x:c r="L267" s="18" t="n">
        <x:v>4.67</x:v>
      </x:c>
      <x:c r="M267" s="18" t="n">
        <x:v>4.33</x:v>
      </x:c>
      <x:c r="N267" s="12" t="str">
        <x:v>Examine budget estimates for completeness, accuracy, and conformance with procedures and regulations. Analyze budgeting and accounting reports.</x:v>
      </x:c>
      <x:c r="O267" s="12" t="str">
        <x:v>https://www.onetonline.org/link/summary/13-2031.00</x:v>
      </x:c>
      <x:c r="P267" s="12" t="str">
        <x:v>All 15 detailed SOC13-2000 occupations; 13-2099 is only the residual member.</x:v>
      </x:c>
    </x:row>
    <x:row r="268" ht="37.5" customHeight="1">
      <x:c r="A268" s="15" t="str">
        <x:v>721510</x:v>
      </x:c>
      <x:c r="B268" s="12" t="str">
        <x:v>Financial specialists (e.g., accountants, auditors)</x:v>
      </x:c>
      <x:c r="C268" s="35" t="str">
        <x:v>13-2041.00</x:v>
      </x:c>
      <x:c r="D268" s="12" t="str">
        <x:v>Credit Analysts</x:v>
      </x:c>
      <x:c r="E268" s="2" t="str">
        <x:v>Include</x:v>
      </x:c>
      <x:c r="F268" s="2" t="str">
        <x:v>Yes</x:v>
      </x:c>
      <x:c r="G268" s="15" t="str">
        <x:v>6/6</x:v>
      </x:c>
      <x:c r="H268" s="18" t="n">
        <x:v>4.33</x:v>
      </x:c>
      <x:c r="I268" s="18" t="n">
        <x:v>4</x:v>
      </x:c>
      <x:c r="J268" s="18" t="n">
        <x:v>4.33</x:v>
      </x:c>
      <x:c r="K268" s="18" t="n">
        <x:v>5</x:v>
      </x:c>
      <x:c r="L268" s="18" t="n">
        <x:v>4.33</x:v>
      </x:c>
      <x:c r="M268" s="18" t="n">
        <x:v>4.33</x:v>
      </x:c>
      <x:c r="N268" s="12" t="str">
        <x:v>Analyze credit data and financial statements of individuals or firms to determine the degree of risk involved in extending credit or lending money. Prepare reports with credit information for use in decisionmaking.</x:v>
      </x:c>
      <x:c r="O268" s="12" t="str">
        <x:v>https://www.onetonline.org/link/summary/13-2041.00</x:v>
      </x:c>
      <x:c r="P268" s="12" t="str">
        <x:v>All 15 detailed SOC13-2000 occupations; 13-2099 is only the residual member.</x:v>
      </x:c>
    </x:row>
    <x:row r="269" ht="37.5" customHeight="1">
      <x:c r="A269" s="15" t="str">
        <x:v>721510</x:v>
      </x:c>
      <x:c r="B269" s="12" t="str">
        <x:v>Financial specialists (e.g., accountants, auditors)</x:v>
      </x:c>
      <x:c r="C269" s="35" t="str">
        <x:v>13-2051.00</x:v>
      </x:c>
      <x:c r="D269" s="12" t="str">
        <x:v>Financial and Investment Analysts</x:v>
      </x:c>
      <x:c r="E269" s="2" t="str">
        <x:v>Exclude (no Work Values)</x:v>
      </x:c>
      <x:c r="F269" s="2" t="str">
        <x:v>Yes</x:v>
      </x:c>
      <x:c r="G269" s="15" t="str">
        <x:v>0/6</x:v>
      </x:c>
      <x:c r="H269" s="18"/>
      <x:c r="I269" s="18"/>
      <x:c r="J269" s="18"/>
      <x:c r="K269" s="18"/>
      <x:c r="L269" s="18"/>
      <x:c r="M269" s="18"/>
      <x:c r="N269" s="12" t="str">
        <x:v>Conduct quantitative analyses of information involving investment programs or financial data of public or private institutions, including valuation of businesses.</x:v>
      </x:c>
      <x:c r="O269" s="12" t="str">
        <x:v>https://www.onetonline.org/link/summary/13-2051.00</x:v>
      </x:c>
      <x:c r="P269" s="12" t="str">
        <x:v>All 15 detailed SOC13-2000 occupations; 13-2099 is only the residual member.</x:v>
      </x:c>
    </x:row>
    <x:row r="270" ht="37.5" customHeight="1">
      <x:c r="A270" s="15" t="str">
        <x:v>721510</x:v>
      </x:c>
      <x:c r="B270" s="12" t="str">
        <x:v>Financial specialists (e.g., accountants, auditors)</x:v>
      </x:c>
      <x:c r="C270" s="35" t="str">
        <x:v>13-2052.00</x:v>
      </x:c>
      <x:c r="D270" s="12" t="str">
        <x:v>Personal Financial Advisors</x:v>
      </x:c>
      <x:c r="E270" s="2" t="str">
        <x:v>Include</x:v>
      </x:c>
      <x:c r="F270" s="2" t="str">
        <x:v>Yes</x:v>
      </x:c>
      <x:c r="G270" s="15" t="str">
        <x:v>6/6</x:v>
      </x:c>
      <x:c r="H270" s="18" t="n">
        <x:v>5</x:v>
      </x:c>
      <x:c r="I270" s="18" t="n">
        <x:v>4.67</x:v>
      </x:c>
      <x:c r="J270" s="18" t="n">
        <x:v>4.67</x:v>
      </x:c>
      <x:c r="K270" s="18" t="n">
        <x:v>4.33</x:v>
      </x:c>
      <x:c r="L270" s="18" t="n">
        <x:v>3.67</x:v>
      </x:c>
      <x:c r="M270" s="18" t="n">
        <x:v>5.33</x:v>
      </x:c>
      <x:c r="N270" s="12" t="str">
        <x:v>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x:v>
      </x:c>
      <x:c r="O270" s="12" t="str">
        <x:v>https://www.onetonline.org/link/summary/13-2052.00</x:v>
      </x:c>
      <x:c r="P270" s="12" t="str">
        <x:v>All 15 detailed SOC13-2000 occupations; 13-2099 is only the residual member.</x:v>
      </x:c>
    </x:row>
    <x:row r="271" ht="37.5" customHeight="1">
      <x:c r="A271" s="15" t="str">
        <x:v>721510</x:v>
      </x:c>
      <x:c r="B271" s="12" t="str">
        <x:v>Financial specialists (e.g., accountants, auditors)</x:v>
      </x:c>
      <x:c r="C271" s="35" t="str">
        <x:v>13-2053.00</x:v>
      </x:c>
      <x:c r="D271" s="12" t="str">
        <x:v>Insurance Underwriters</x:v>
      </x:c>
      <x:c r="E271" s="2" t="str">
        <x:v>Include</x:v>
      </x:c>
      <x:c r="F271" s="2" t="str">
        <x:v>Yes</x:v>
      </x:c>
      <x:c r="G271" s="15" t="str">
        <x:v>6/6</x:v>
      </x:c>
      <x:c r="H271" s="18" t="n">
        <x:v>4.33</x:v>
      </x:c>
      <x:c r="I271" s="18" t="n">
        <x:v>4</x:v>
      </x:c>
      <x:c r="J271" s="18" t="n">
        <x:v>4</x:v>
      </x:c>
      <x:c r="K271" s="18" t="n">
        <x:v>5</x:v>
      </x:c>
      <x:c r="L271" s="18" t="n">
        <x:v>4.67</x:v>
      </x:c>
      <x:c r="M271" s="18" t="n">
        <x:v>5</x:v>
      </x:c>
      <x:c r="N271" s="12" t="str">
        <x:v>Review individual applications for insurance to evaluate degree of risk involved and determine acceptance of applications.</x:v>
      </x:c>
      <x:c r="O271" s="12" t="str">
        <x:v>https://www.onetonline.org/link/summary/13-2053.00</x:v>
      </x:c>
      <x:c r="P271" s="12" t="str">
        <x:v>All 15 detailed SOC13-2000 occupations; 13-2099 is only the residual member.</x:v>
      </x:c>
    </x:row>
    <x:row r="272" ht="37.5" customHeight="1">
      <x:c r="A272" s="15" t="str">
        <x:v>721510</x:v>
      </x:c>
      <x:c r="B272" s="12" t="str">
        <x:v>Financial specialists (e.g., accountants, auditors)</x:v>
      </x:c>
      <x:c r="C272" s="35" t="str">
        <x:v>13-2054.00</x:v>
      </x:c>
      <x:c r="D272" s="12" t="str">
        <x:v>Financial Risk Specialists</x:v>
      </x:c>
      <x:c r="E272" s="2" t="str">
        <x:v>Exclude (no Work Values)</x:v>
      </x:c>
      <x:c r="F272" s="2" t="str">
        <x:v>Yes</x:v>
      </x:c>
      <x:c r="G272" s="15" t="str">
        <x:v>0/6</x:v>
      </x:c>
      <x:c r="H272" s="18"/>
      <x:c r="I272" s="18"/>
      <x:c r="J272" s="18"/>
      <x:c r="K272" s="18"/>
      <x:c r="L272" s="18"/>
      <x:c r="M272" s="18"/>
      <x:c r="N272" s="12" t="str">
        <x:v>Analyze and measure exposure to credit and market risk threatening the assets, earning capacity, or economic state of an organization. May make recommendations to limit risk.</x:v>
      </x:c>
      <x:c r="O272" s="12" t="str">
        <x:v>https://www.onetonline.org/link/summary/13-2054.00</x:v>
      </x:c>
      <x:c r="P272" s="12" t="str">
        <x:v>All 15 detailed SOC13-2000 occupations; 13-2099 is only the residual member.</x:v>
      </x:c>
    </x:row>
    <x:row r="273" ht="37.5" customHeight="1">
      <x:c r="A273" s="15" t="str">
        <x:v>721510</x:v>
      </x:c>
      <x:c r="B273" s="12" t="str">
        <x:v>Financial specialists (e.g., accountants, auditors)</x:v>
      </x:c>
      <x:c r="C273" s="35" t="str">
        <x:v>13-2061.00</x:v>
      </x:c>
      <x:c r="D273" s="12" t="str">
        <x:v>Financial Examiners</x:v>
      </x:c>
      <x:c r="E273" s="2" t="str">
        <x:v>Include</x:v>
      </x:c>
      <x:c r="F273" s="2" t="str">
        <x:v>Yes</x:v>
      </x:c>
      <x:c r="G273" s="15" t="str">
        <x:v>6/6</x:v>
      </x:c>
      <x:c r="H273" s="18" t="n">
        <x:v>4.67</x:v>
      </x:c>
      <x:c r="I273" s="18" t="n">
        <x:v>4.33</x:v>
      </x:c>
      <x:c r="J273" s="18" t="n">
        <x:v>4.33</x:v>
      </x:c>
      <x:c r="K273" s="18" t="n">
        <x:v>5</x:v>
      </x:c>
      <x:c r="L273" s="18" t="n">
        <x:v>4</x:v>
      </x:c>
      <x:c r="M273" s="18" t="n">
        <x:v>5.67</x:v>
      </x:c>
      <x:c r="N273" s="12" t="str">
        <x:v>Enforce or ensure compliance with laws and regulations governing financial and securities institutions and financial and real estate transactions. May examine, verify, or authenticate records.</x:v>
      </x:c>
      <x:c r="O273" s="12" t="str">
        <x:v>https://www.onetonline.org/link/summary/13-2061.00</x:v>
      </x:c>
      <x:c r="P273" s="12" t="str">
        <x:v>All 15 detailed SOC13-2000 occupations; 13-2099 is only the residual member.</x:v>
      </x:c>
    </x:row>
    <x:row r="274" ht="37.5" customHeight="1">
      <x:c r="A274" s="15" t="str">
        <x:v>721510</x:v>
      </x:c>
      <x:c r="B274" s="12" t="str">
        <x:v>Financial specialists (e.g., accountants, auditors)</x:v>
      </x:c>
      <x:c r="C274" s="35" t="str">
        <x:v>13-2071.00</x:v>
      </x:c>
      <x:c r="D274" s="12" t="str">
        <x:v>Credit Counselors</x:v>
      </x:c>
      <x:c r="E274" s="2" t="str">
        <x:v>Include</x:v>
      </x:c>
      <x:c r="F274" s="2" t="str">
        <x:v>Yes</x:v>
      </x:c>
      <x:c r="G274" s="15" t="str">
        <x:v>6/6</x:v>
      </x:c>
      <x:c r="H274" s="18" t="n">
        <x:v>5.33</x:v>
      </x:c>
      <x:c r="I274" s="18" t="n">
        <x:v>4.67</x:v>
      </x:c>
      <x:c r="J274" s="18" t="n">
        <x:v>4</x:v>
      </x:c>
      <x:c r="K274" s="18" t="n">
        <x:v>5.67</x:v>
      </x:c>
      <x:c r="L274" s="18" t="n">
        <x:v>3.67</x:v>
      </x:c>
      <x:c r="M274" s="18" t="n">
        <x:v>5.33</x:v>
      </x:c>
      <x:c r="N274" s="12" t="str">
        <x:v>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x:v>
      </x:c>
      <x:c r="O274" s="12" t="str">
        <x:v>https://www.onetonline.org/link/summary/13-2071.00</x:v>
      </x:c>
      <x:c r="P274" s="12" t="str">
        <x:v>All 15 detailed SOC13-2000 occupations; 13-2099 is only the residual member.</x:v>
      </x:c>
    </x:row>
    <x:row r="275" ht="37.5" customHeight="1">
      <x:c r="A275" s="15" t="str">
        <x:v>721510</x:v>
      </x:c>
      <x:c r="B275" s="12" t="str">
        <x:v>Financial specialists (e.g., accountants, auditors)</x:v>
      </x:c>
      <x:c r="C275" s="35" t="str">
        <x:v>13-2072.00</x:v>
      </x:c>
      <x:c r="D275" s="12" t="str">
        <x:v>Loan Officers</x:v>
      </x:c>
      <x:c r="E275" s="2" t="str">
        <x:v>Include</x:v>
      </x:c>
      <x:c r="F275" s="2" t="str">
        <x:v>Yes</x:v>
      </x:c>
      <x:c r="G275" s="15" t="str">
        <x:v>6/6</x:v>
      </x:c>
      <x:c r="H275" s="18" t="n">
        <x:v>4.67</x:v>
      </x:c>
      <x:c r="I275" s="18" t="n">
        <x:v>4.33</x:v>
      </x:c>
      <x:c r="J275" s="18" t="n">
        <x:v>4.67</x:v>
      </x:c>
      <x:c r="K275" s="18" t="n">
        <x:v>6</x:v>
      </x:c>
      <x:c r="L275" s="18" t="n">
        <x:v>5</x:v>
      </x:c>
      <x:c r="M275" s="18" t="n">
        <x:v>5.33</x:v>
      </x:c>
      <x:c r="N275" s="12" t="str">
        <x:v>Evaluate, authorize, or recommend approval of commercial, real estate, or credit loans. Advise borrowers on financial status and payment methods. Includes mortgage loan officers and agents, collection analysts, loan servicing officers, loan underwriters, and payday loan officers.</x:v>
      </x:c>
      <x:c r="O275" s="12" t="str">
        <x:v>https://www.onetonline.org/link/summary/13-2072.00</x:v>
      </x:c>
      <x:c r="P275" s="12" t="str">
        <x:v>All 15 detailed SOC13-2000 occupations; 13-2099 is only the residual member.</x:v>
      </x:c>
    </x:row>
    <x:row r="276" ht="37.5" customHeight="1">
      <x:c r="A276" s="15" t="str">
        <x:v>721510</x:v>
      </x:c>
      <x:c r="B276" s="12" t="str">
        <x:v>Financial specialists (e.g., accountants, auditors)</x:v>
      </x:c>
      <x:c r="C276" s="35" t="str">
        <x:v>13-2081.00</x:v>
      </x:c>
      <x:c r="D276" s="12" t="str">
        <x:v>Tax Examiners and Collectors, and Revenue Agents</x:v>
      </x:c>
      <x:c r="E276" s="2" t="str">
        <x:v>Include</x:v>
      </x:c>
      <x:c r="F276" s="2" t="str">
        <x:v>Yes</x:v>
      </x:c>
      <x:c r="G276" s="15" t="str">
        <x:v>6/6</x:v>
      </x:c>
      <x:c r="H276" s="18" t="n">
        <x:v>4.33</x:v>
      </x:c>
      <x:c r="I276" s="18" t="n">
        <x:v>3.83</x:v>
      </x:c>
      <x:c r="J276" s="18" t="n">
        <x:v>3.67</x:v>
      </x:c>
      <x:c r="K276" s="18" t="n">
        <x:v>4</x:v>
      </x:c>
      <x:c r="L276" s="18" t="n">
        <x:v>4.33</x:v>
      </x:c>
      <x:c r="M276" s="18" t="n">
        <x:v>3.67</x:v>
      </x:c>
      <x:c r="N276" s="12" t="str">
        <x:v>Determine tax liability or collect taxes from individuals or business firms according to prescribed laws and regulations.</x:v>
      </x:c>
      <x:c r="O276" s="12" t="str">
        <x:v>https://www.onetonline.org/link/summary/13-2081.00</x:v>
      </x:c>
      <x:c r="P276" s="12" t="str">
        <x:v>All 15 detailed SOC13-2000 occupations; 13-2099 is only the residual member.</x:v>
      </x:c>
    </x:row>
    <x:row r="277" ht="37.5" customHeight="1">
      <x:c r="A277" s="15" t="str">
        <x:v>721510</x:v>
      </x:c>
      <x:c r="B277" s="12" t="str">
        <x:v>Financial specialists (e.g., accountants, auditors)</x:v>
      </x:c>
      <x:c r="C277" s="35" t="str">
        <x:v>13-2082.00</x:v>
      </x:c>
      <x:c r="D277" s="12" t="str">
        <x:v>Tax Preparers</x:v>
      </x:c>
      <x:c r="E277" s="2" t="str">
        <x:v>Include</x:v>
      </x:c>
      <x:c r="F277" s="2" t="str">
        <x:v>Yes</x:v>
      </x:c>
      <x:c r="G277" s="15" t="str">
        <x:v>6/6</x:v>
      </x:c>
      <x:c r="H277" s="18" t="n">
        <x:v>3.33</x:v>
      </x:c>
      <x:c r="I277" s="18" t="n">
        <x:v>3.33</x:v>
      </x:c>
      <x:c r="J277" s="18" t="n">
        <x:v>3.33</x:v>
      </x:c>
      <x:c r="K277" s="18" t="n">
        <x:v>4.67</x:v>
      </x:c>
      <x:c r="L277" s="18" t="n">
        <x:v>3.67</x:v>
      </x:c>
      <x:c r="M277" s="18" t="n">
        <x:v>3.67</x:v>
      </x:c>
      <x:c r="N277" s="12" t="str">
        <x:v>Prepare tax returns for individuals or small businesses.</x:v>
      </x:c>
      <x:c r="O277" s="12" t="str">
        <x:v>https://www.onetonline.org/link/summary/13-2082.00</x:v>
      </x:c>
      <x:c r="P277" s="12" t="str">
        <x:v>All 15 detailed SOC13-2000 occupations; 13-2099 is only the residual member.</x:v>
      </x:c>
    </x:row>
    <x:row r="278" ht="37.5" customHeight="1">
      <x:c r="A278" s="15" t="str">
        <x:v>721510</x:v>
      </x:c>
      <x:c r="B278" s="12" t="str">
        <x:v>Financial specialists (e.g., accountants, auditors)</x:v>
      </x:c>
      <x:c r="C278" s="35" t="str">
        <x:v>13-2099.00</x:v>
      </x:c>
      <x:c r="D278" s="12" t="str">
        <x:v>Financial Specialists, All Other</x:v>
      </x:c>
      <x:c r="E278" s="2" t="str">
        <x:v>Exclude (no Work Values)</x:v>
      </x:c>
      <x:c r="F278" s="2" t="str">
        <x:v>Yes</x:v>
      </x:c>
      <x:c r="G278" s="15" t="str">
        <x:v>0/6</x:v>
      </x:c>
      <x:c r="H278" s="18"/>
      <x:c r="I278" s="18"/>
      <x:c r="J278" s="18"/>
      <x:c r="K278" s="18"/>
      <x:c r="L278" s="18"/>
      <x:c r="M278" s="18"/>
      <x:c r="N278" s="12" t="str">
        <x:v>All financial specialists not listed separately.</x:v>
      </x:c>
      <x:c r="O278" s="12" t="str">
        <x:v>https://www.onetonline.org/link/summary/13-2099.00</x:v>
      </x:c>
      <x:c r="P278" s="12" t="str">
        <x:v>All 15 detailed SOC13-2000 occupations; 13-2099 is only the residual member.</x:v>
      </x:c>
    </x:row>
    <x:row r="279" ht="36" customHeight="1">
      <x:c r="A279" s="15" t="str">
        <x:v>721520</x:v>
      </x:c>
      <x:c r="B279" s="12" t="str">
        <x:v>Personnel, training, and labor relations specialists</x:v>
      </x:c>
      <x:c r="C279" s="35" t="str">
        <x:v>13-1071.00</x:v>
      </x:c>
      <x:c r="D279" s="12" t="str">
        <x:v>Human Resources Specialists</x:v>
      </x:c>
      <x:c r="E279" s="2" t="str">
        <x:v>Include</x:v>
      </x:c>
      <x:c r="F279" s="2" t="str">
        <x:v>Yes</x:v>
      </x:c>
      <x:c r="G279" s="15" t="str">
        <x:v>6/6</x:v>
      </x:c>
      <x:c r="H279" s="18" t="n">
        <x:v>5</x:v>
      </x:c>
      <x:c r="I279" s="18" t="n">
        <x:v>4.83</x:v>
      </x:c>
      <x:c r="J279" s="18" t="n">
        <x:v>4</x:v>
      </x:c>
      <x:c r="K279" s="18" t="n">
        <x:v>5.67</x:v>
      </x:c>
      <x:c r="L279" s="18" t="n">
        <x:v>5.33</x:v>
      </x:c>
      <x:c r="M279" s="18" t="n">
        <x:v>4</x:v>
      </x:c>
      <x:c r="N279" s="12" t="str">
        <x:v>Recruit, screen, interview, or place individuals within an organization. May perform other activities in multiple human resources areas.</x:v>
      </x:c>
      <x:c r="O279" s="12" t="str">
        <x:v>https://www.onetonline.org/link/summary/13-1071.00</x:v>
      </x:c>
      <x:c r="P279" s="12" t="str">
        <x:v>Human resources, labor relations, compensation/benefits and training specialists.</x:v>
      </x:c>
    </x:row>
    <x:row r="280" ht="36" customHeight="1">
      <x:c r="A280" s="15" t="str">
        <x:v>721520</x:v>
      </x:c>
      <x:c r="B280" s="12" t="str">
        <x:v>Personnel, training, and labor relations specialists</x:v>
      </x:c>
      <x:c r="C280" s="35" t="str">
        <x:v>13-1075.00</x:v>
      </x:c>
      <x:c r="D280" s="12" t="str">
        <x:v>Labor Relations Specialists</x:v>
      </x:c>
      <x:c r="E280" s="2" t="str">
        <x:v>Include</x:v>
      </x:c>
      <x:c r="F280" s="2" t="str">
        <x:v>Yes</x:v>
      </x:c>
      <x:c r="G280" s="15" t="str">
        <x:v>6/6</x:v>
      </x:c>
      <x:c r="H280" s="18" t="n">
        <x:v>5.67</x:v>
      </x:c>
      <x:c r="I280" s="18" t="n">
        <x:v>4.83</x:v>
      </x:c>
      <x:c r="J280" s="18" t="n">
        <x:v>4.67</x:v>
      </x:c>
      <x:c r="K280" s="18" t="n">
        <x:v>5.67</x:v>
      </x:c>
      <x:c r="L280" s="18" t="n">
        <x:v>5</x:v>
      </x:c>
      <x:c r="M280" s="18" t="n">
        <x:v>4.67</x:v>
      </x:c>
      <x:c r="N280" s="12" t="str">
        <x:v>Resolve disputes between workers and managers, negotiate collective bargaining agreements, or coordinate grievance procedures to handle employee complaints.</x:v>
      </x:c>
      <x:c r="O280" s="12" t="str">
        <x:v>https://www.onetonline.org/link/summary/13-1075.00</x:v>
      </x:c>
      <x:c r="P280" s="12" t="str">
        <x:v>Human resources, labor relations, compensation/benefits and training specialists.</x:v>
      </x:c>
    </x:row>
    <x:row r="281" ht="36" customHeight="1">
      <x:c r="A281" s="15" t="str">
        <x:v>721520</x:v>
      </x:c>
      <x:c r="B281" s="12" t="str">
        <x:v>Personnel, training, and labor relations specialists</x:v>
      </x:c>
      <x:c r="C281" s="35" t="str">
        <x:v>13-1141.00</x:v>
      </x:c>
      <x:c r="D281" s="12" t="str">
        <x:v>Compensation, Benefits, and Job Analysis Specialists</x:v>
      </x:c>
      <x:c r="E281" s="2" t="str">
        <x:v>Include</x:v>
      </x:c>
      <x:c r="F281" s="2" t="str">
        <x:v>Yes</x:v>
      </x:c>
      <x:c r="G281" s="15" t="str">
        <x:v>6/6</x:v>
      </x:c>
      <x:c r="H281" s="18" t="n">
        <x:v>4.67</x:v>
      </x:c>
      <x:c r="I281" s="18" t="n">
        <x:v>4.17</x:v>
      </x:c>
      <x:c r="J281" s="18" t="n">
        <x:v>4.67</x:v>
      </x:c>
      <x:c r="K281" s="18" t="n">
        <x:v>5.33</x:v>
      </x:c>
      <x:c r="L281" s="18" t="n">
        <x:v>5</x:v>
      </x:c>
      <x:c r="M281" s="18" t="n">
        <x:v>4.33</x:v>
      </x:c>
      <x:c r="N281" s="12" t="str">
        <x:v>Conduct programs of compensation and benefits and job analysis for employer. May specialize in specific areas, such as position classification and pension programs.</x:v>
      </x:c>
      <x:c r="O281" s="12" t="str">
        <x:v>https://www.onetonline.org/link/summary/13-1141.00</x:v>
      </x:c>
      <x:c r="P281" s="12" t="str">
        <x:v>Human resources, labor relations, compensation/benefits and training specialists.</x:v>
      </x:c>
    </x:row>
    <x:row r="282" ht="36" customHeight="1">
      <x:c r="A282" s="15" t="str">
        <x:v>721520</x:v>
      </x:c>
      <x:c r="B282" s="12" t="str">
        <x:v>Personnel, training, and labor relations specialists</x:v>
      </x:c>
      <x:c r="C282" s="35" t="str">
        <x:v>13-1151.00</x:v>
      </x:c>
      <x:c r="D282" s="12" t="str">
        <x:v>Training and Development Specialists</x:v>
      </x:c>
      <x:c r="E282" s="2" t="str">
        <x:v>Include</x:v>
      </x:c>
      <x:c r="F282" s="2" t="str">
        <x:v>Yes</x:v>
      </x:c>
      <x:c r="G282" s="15" t="str">
        <x:v>6/6</x:v>
      </x:c>
      <x:c r="H282" s="18" t="n">
        <x:v>5.33</x:v>
      </x:c>
      <x:c r="I282" s="18" t="n">
        <x:v>4.83</x:v>
      </x:c>
      <x:c r="J282" s="18" t="n">
        <x:v>4.67</x:v>
      </x:c>
      <x:c r="K282" s="18" t="n">
        <x:v>6.33</x:v>
      </x:c>
      <x:c r="L282" s="18" t="n">
        <x:v>4.67</x:v>
      </x:c>
      <x:c r="M282" s="18" t="n">
        <x:v>5.33</x:v>
      </x:c>
      <x:c r="N282" s="12" t="str">
        <x:v>Design or conduct work-related training and development programs to improve individual skills or organizational performance. May analyze organizational training needs or evaluate training effectiveness.</x:v>
      </x:c>
      <x:c r="O282" s="12" t="str">
        <x:v>https://www.onetonline.org/link/summary/13-1151.00</x:v>
      </x:c>
      <x:c r="P282" s="12" t="str">
        <x:v>Human resources, labor relations, compensation/benefits and training specialists.</x:v>
      </x:c>
    </x:row>
    <x:row r="283" ht="50.25" customHeight="1">
      <x:c r="A283" s="15" t="str">
        <x:v>721530</x:v>
      </x:c>
      <x:c r="B283" s="12" t="str">
        <x:v>Other management related occupations (e.g., buyers and purchasing agents, claims adjusters, compliance officers, logisticians, management analysts, marketing specialists) </x:v>
      </x:c>
      <x:c r="C283" s="35" t="str">
        <x:v>13-1011.00</x:v>
      </x:c>
      <x:c r="D283" s="12" t="str">
        <x:v>Agents and Business Managers of Artists, Performers, and Athletes</x:v>
      </x:c>
      <x:c r="E283" s="2" t="str">
        <x:v>Include</x:v>
      </x:c>
      <x:c r="F283" s="2" t="str">
        <x:v>Yes</x:v>
      </x:c>
      <x:c r="G283" s="15" t="str">
        <x:v>6/6</x:v>
      </x:c>
      <x:c r="H283" s="18" t="n">
        <x:v>6.33</x:v>
      </x:c>
      <x:c r="I283" s="18" t="n">
        <x:v>5.33</x:v>
      </x:c>
      <x:c r="J283" s="18" t="n">
        <x:v>5.33</x:v>
      </x:c>
      <x:c r="K283" s="18" t="n">
        <x:v>5.33</x:v>
      </x:c>
      <x:c r="L283" s="18" t="n">
        <x:v>3.67</x:v>
      </x:c>
      <x:c r="M283" s="18" t="n">
        <x:v>6.33</x:v>
      </x:c>
      <x:c r="N283" s="12" t="str">
        <x:v>Represent and promote artists, performers, and athletes in dealings with current or prospective employers. May handle contract negotiation and other business matters for clients.</x:v>
      </x:c>
      <x:c r="O283" s="12" t="str">
        <x:v>https://www.onetonline.org/link/summary/13-1011.00</x:v>
      </x:c>
      <x:c r="P283" s="12" t="str">
        <x:v>Business operations minus the four separately listed personnel/training occupations. Finance is separate; farm labor contractors remain included.</x:v>
      </x:c>
    </x:row>
    <x:row r="284" ht="50.25" customHeight="1">
      <x:c r="A284" s="15" t="str">
        <x:v>721530</x:v>
      </x:c>
      <x:c r="B284" s="12" t="str">
        <x:v>Other management related occupations (e.g., buyers and purchasing agents, claims adjusters, compliance officers, logisticians, management analysts, marketing specialists) </x:v>
      </x:c>
      <x:c r="C284" s="35" t="str">
        <x:v>13-1021.00</x:v>
      </x:c>
      <x:c r="D284" s="12" t="str">
        <x:v>Buyers and Purchasing Agents, Farm Products</x:v>
      </x:c>
      <x:c r="E284" s="2" t="str">
        <x:v>Include</x:v>
      </x:c>
      <x:c r="F284" s="2" t="str">
        <x:v>Yes</x:v>
      </x:c>
      <x:c r="G284" s="15" t="str">
        <x:v>6/6</x:v>
      </x:c>
      <x:c r="H284" s="18" t="n">
        <x:v>4</x:v>
      </x:c>
      <x:c r="I284" s="18" t="n">
        <x:v>4.17</x:v>
      </x:c>
      <x:c r="J284" s="18" t="n">
        <x:v>3.67</x:v>
      </x:c>
      <x:c r="K284" s="18" t="n">
        <x:v>4</x:v>
      </x:c>
      <x:c r="L284" s="18" t="n">
        <x:v>3.67</x:v>
      </x:c>
      <x:c r="M284" s="18" t="n">
        <x:v>5.33</x:v>
      </x:c>
      <x:c r="N284" s="12" t="str">
        <x:v>Purchase farm products either for further processing or resale. Includes tree farm contractors, grain brokers and market operators, grain buyers, and tobacco buyers. May negotiate contracts.</x:v>
      </x:c>
      <x:c r="O284" s="12" t="str">
        <x:v>https://www.onetonline.org/link/summary/13-1021.00</x:v>
      </x:c>
      <x:c r="P284" s="12" t="str">
        <x:v>Business operations minus the four separately listed personnel/training occupations. Finance is separate; farm labor contractors remain included.</x:v>
      </x:c>
    </x:row>
    <x:row r="285" ht="50.25" customHeight="1">
      <x:c r="A285" s="15" t="str">
        <x:v>721530</x:v>
      </x:c>
      <x:c r="B285" s="12" t="str">
        <x:v>Other management related occupations (e.g., buyers and purchasing agents, claims adjusters, compliance officers, logisticians, management analysts, marketing specialists) </x:v>
      </x:c>
      <x:c r="C285" s="35" t="str">
        <x:v>13-1022.00</x:v>
      </x:c>
      <x:c r="D285" s="12" t="str">
        <x:v>Wholesale and Retail Buyers, Except Farm Products</x:v>
      </x:c>
      <x:c r="E285" s="2" t="str">
        <x:v>Include</x:v>
      </x:c>
      <x:c r="F285" s="2" t="str">
        <x:v>Yes</x:v>
      </x:c>
      <x:c r="G285" s="15" t="str">
        <x:v>6/6</x:v>
      </x:c>
      <x:c r="H285" s="18" t="n">
        <x:v>4</x:v>
      </x:c>
      <x:c r="I285" s="18" t="n">
        <x:v>3.5</x:v>
      </x:c>
      <x:c r="J285" s="18" t="n">
        <x:v>3.67</x:v>
      </x:c>
      <x:c r="K285" s="18" t="n">
        <x:v>4</x:v>
      </x:c>
      <x:c r="L285" s="18" t="n">
        <x:v>4</x:v>
      </x:c>
      <x:c r="M285" s="18" t="n">
        <x:v>4</x:v>
      </x:c>
      <x:c r="N285" s="12" t="str">
        <x:v>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x:v>
      </x:c>
      <x:c r="O285" s="12" t="str">
        <x:v>https://www.onetonline.org/link/summary/13-1022.00</x:v>
      </x:c>
      <x:c r="P285" s="12" t="str">
        <x:v>Business operations minus the four separately listed personnel/training occupations. Finance is separate; farm labor contractors remain included.</x:v>
      </x:c>
    </x:row>
    <x:row r="286" ht="50.25" customHeight="1">
      <x:c r="A286" s="15" t="str">
        <x:v>721530</x:v>
      </x:c>
      <x:c r="B286" s="12" t="str">
        <x:v>Other management related occupations (e.g., buyers and purchasing agents, claims adjusters, compliance officers, logisticians, management analysts, marketing specialists) </x:v>
      </x:c>
      <x:c r="C286" s="35" t="str">
        <x:v>13-1023.00</x:v>
      </x:c>
      <x:c r="D286" s="12" t="str">
        <x:v>Purchasing Agents, Except Wholesale, Retail, and Farm Products</x:v>
      </x:c>
      <x:c r="E286" s="2" t="str">
        <x:v>Include</x:v>
      </x:c>
      <x:c r="F286" s="2" t="str">
        <x:v>Yes</x:v>
      </x:c>
      <x:c r="G286" s="15" t="str">
        <x:v>6/6</x:v>
      </x:c>
      <x:c r="H286" s="18" t="n">
        <x:v>4</x:v>
      </x:c>
      <x:c r="I286" s="18" t="n">
        <x:v>5</x:v>
      </x:c>
      <x:c r="J286" s="18" t="n">
        <x:v>4</x:v>
      </x:c>
      <x:c r="K286" s="18" t="n">
        <x:v>4.67</x:v>
      </x:c>
      <x:c r="L286" s="18" t="n">
        <x:v>4.67</x:v>
      </x:c>
      <x:c r="M286" s="18" t="n">
        <x:v>4.67</x:v>
      </x:c>
      <x:c r="N286" s="12" t="str">
        <x:v>Purchase machinery, equipment, tools, parts, supplies, or services necessary for the operation of an establishment. Purchase raw or semifinished materials for manufacturing. May negotiate contracts.</x:v>
      </x:c>
      <x:c r="O286" s="12" t="str">
        <x:v>https://www.onetonline.org/link/summary/13-1023.00</x:v>
      </x:c>
      <x:c r="P286" s="12" t="str">
        <x:v>Business operations minus the four separately listed personnel/training occupations. Finance is separate; farm labor contractors remain included.</x:v>
      </x:c>
    </x:row>
    <x:row r="287" ht="50.25" customHeight="1">
      <x:c r="A287" s="15" t="str">
        <x:v>721530</x:v>
      </x:c>
      <x:c r="B287" s="12" t="str">
        <x:v>Other management related occupations (e.g., buyers and purchasing agents, claims adjusters, compliance officers, logisticians, management analysts, marketing specialists) </x:v>
      </x:c>
      <x:c r="C287" s="35" t="str">
        <x:v>13-1031.00</x:v>
      </x:c>
      <x:c r="D287" s="12" t="str">
        <x:v>Claims Adjusters, Examiners, and Investigators</x:v>
      </x:c>
      <x:c r="E287" s="2" t="str">
        <x:v>Include</x:v>
      </x:c>
      <x:c r="F287" s="2" t="str">
        <x:v>Yes</x:v>
      </x:c>
      <x:c r="G287" s="15" t="str">
        <x:v>6/6</x:v>
      </x:c>
      <x:c r="H287" s="18" t="n">
        <x:v>4.17</x:v>
      </x:c>
      <x:c r="I287" s="18" t="n">
        <x:v>4.58</x:v>
      </x:c>
      <x:c r="J287" s="18" t="n">
        <x:v>3.83</x:v>
      </x:c>
      <x:c r="K287" s="18" t="n">
        <x:v>4.5</x:v>
      </x:c>
      <x:c r="L287" s="18" t="n">
        <x:v>4.83</x:v>
      </x:c>
      <x:c r="M287" s="18" t="n">
        <x:v>4.67</x:v>
      </x:c>
      <x:c r="N287" s="12" t="str">
        <x:v>Review settled claims to determine that payments and settlements are made in accordance with company practices and procedures. Confer with legal counsel on claims requiring litigation. May also settle insurance claims.</x:v>
      </x:c>
      <x:c r="O287" s="12" t="str">
        <x:v>https://www.onetonline.org/link/summary/13-1031.00</x:v>
      </x:c>
      <x:c r="P287" s="12" t="str">
        <x:v>Business operations minus the four separately listed personnel/training occupations. Finance is separate; farm labor contractors remain included.</x:v>
      </x:c>
    </x:row>
    <x:row r="288" ht="50.25" customHeight="1">
      <x:c r="A288" s="15" t="str">
        <x:v>721530</x:v>
      </x:c>
      <x:c r="B288" s="12" t="str">
        <x:v>Other management related occupations (e.g., buyers and purchasing agents, claims adjusters, compliance officers, logisticians, management analysts, marketing specialists) </x:v>
      </x:c>
      <x:c r="C288" s="35" t="str">
        <x:v>13-1032.00</x:v>
      </x:c>
      <x:c r="D288" s="12" t="str">
        <x:v>Insurance Appraisers, Auto Damage</x:v>
      </x:c>
      <x:c r="E288" s="2" t="str">
        <x:v>Include</x:v>
      </x:c>
      <x:c r="F288" s="2" t="str">
        <x:v>Yes</x:v>
      </x:c>
      <x:c r="G288" s="15" t="str">
        <x:v>6/6</x:v>
      </x:c>
      <x:c r="H288" s="18" t="n">
        <x:v>4</x:v>
      </x:c>
      <x:c r="I288" s="18" t="n">
        <x:v>4.67</x:v>
      </x:c>
      <x:c r="J288" s="18" t="n">
        <x:v>3.67</x:v>
      </x:c>
      <x:c r="K288" s="18" t="n">
        <x:v>4.33</x:v>
      </x:c>
      <x:c r="L288" s="18" t="n">
        <x:v>5</x:v>
      </x:c>
      <x:c r="M288" s="18" t="n">
        <x:v>5</x:v>
      </x:c>
      <x:c r="N288" s="12" t="str">
        <x:v>Appraise automobile or other vehicle damage to determine repair costs for insurance claim settlement. Prepare insurance forms to indicate repair cost or cost estimates and recommendations. May seek agreement with automotive repair shop on repair costs.</x:v>
      </x:c>
      <x:c r="O288" s="12" t="str">
        <x:v>https://www.onetonline.org/link/summary/13-1032.00</x:v>
      </x:c>
      <x:c r="P288" s="12" t="str">
        <x:v>Business operations minus the four separately listed personnel/training occupations. Finance is separate; farm labor contractors remain included.</x:v>
      </x:c>
    </x:row>
    <x:row r="289" ht="50.25" customHeight="1">
      <x:c r="A289" s="15" t="str">
        <x:v>721530</x:v>
      </x:c>
      <x:c r="B289" s="12" t="str">
        <x:v>Other management related occupations (e.g., buyers and purchasing agents, claims adjusters, compliance officers, logisticians, management analysts, marketing specialists) </x:v>
      </x:c>
      <x:c r="C289" s="35" t="str">
        <x:v>13-1041.00</x:v>
      </x:c>
      <x:c r="D289" s="12" t="str">
        <x:v>Compliance Officers</x:v>
      </x:c>
      <x:c r="E289" s="2" t="str">
        <x:v>Include</x:v>
      </x:c>
      <x:c r="F289" s="2" t="str">
        <x:v>Yes</x:v>
      </x:c>
      <x:c r="G289" s="15" t="str">
        <x:v>6/6</x:v>
      </x:c>
      <x:c r="H289" s="18" t="n">
        <x:v>4</x:v>
      </x:c>
      <x:c r="I289" s="18" t="n">
        <x:v>4</x:v>
      </x:c>
      <x:c r="J289" s="18" t="n">
        <x:v>3.33</x:v>
      </x:c>
      <x:c r="K289" s="18" t="n">
        <x:v>5</x:v>
      </x:c>
      <x:c r="L289" s="18" t="n">
        <x:v>4.67</x:v>
      </x:c>
      <x:c r="M289" s="18" t="n">
        <x:v>4.67</x:v>
      </x:c>
      <x:c r="N289" s="12" t="str">
        <x:v>Examine, evaluate, and investigate eligibility for or conformity with laws and regulations governing contract compliance of licenses and permits, and perform other compliance and enforcement inspection and analysis activities not classified elsewhere.</x:v>
      </x:c>
      <x:c r="O289" s="12" t="str">
        <x:v>https://www.onetonline.org/link/summary/13-1041.00</x:v>
      </x:c>
      <x:c r="P289" s="12" t="str">
        <x:v>Business operations minus the four separately listed personnel/training occupations. Finance is separate; farm labor contractors remain included.</x:v>
      </x:c>
    </x:row>
    <x:row r="290" ht="50.25" customHeight="1">
      <x:c r="A290" s="15" t="str">
        <x:v>721530</x:v>
      </x:c>
      <x:c r="B290" s="12" t="str">
        <x:v>Other management related occupations (e.g., buyers and purchasing agents, claims adjusters, compliance officers, logisticians, management analysts, marketing specialists) </x:v>
      </x:c>
      <x:c r="C290" s="35" t="str">
        <x:v>13-1051.00</x:v>
      </x:c>
      <x:c r="D290" s="12" t="str">
        <x:v>Cost Estimators</x:v>
      </x:c>
      <x:c r="E290" s="2" t="str">
        <x:v>Include</x:v>
      </x:c>
      <x:c r="F290" s="2" t="str">
        <x:v>Yes</x:v>
      </x:c>
      <x:c r="G290" s="15" t="str">
        <x:v>6/6</x:v>
      </x:c>
      <x:c r="H290" s="18" t="n">
        <x:v>4</x:v>
      </x:c>
      <x:c r="I290" s="18" t="n">
        <x:v>4.5</x:v>
      </x:c>
      <x:c r="J290" s="18" t="n">
        <x:v>4</x:v>
      </x:c>
      <x:c r="K290" s="18" t="n">
        <x:v>4.67</x:v>
      </x:c>
      <x:c r="L290" s="18" t="n">
        <x:v>3.67</x:v>
      </x:c>
      <x:c r="M290" s="18" t="n">
        <x:v>4.67</x:v>
      </x:c>
      <x:c r="N290" s="12" t="str">
        <x:v>Prepare cost estimates for product manufacturing, construction projects, or services to aid management in bidding on or determining price of product or service. May specialize according to particular service performed or type of product manufactured.</x:v>
      </x:c>
      <x:c r="O290" s="12" t="str">
        <x:v>https://www.onetonline.org/link/summary/13-1051.00</x:v>
      </x:c>
      <x:c r="P290" s="12" t="str">
        <x:v>Business operations minus the four separately listed personnel/training occupations. Finance is separate; farm labor contractors remain included.</x:v>
      </x:c>
    </x:row>
    <x:row r="291" ht="50.25" customHeight="1">
      <x:c r="A291" s="15" t="str">
        <x:v>721530</x:v>
      </x:c>
      <x:c r="B291" s="12" t="str">
        <x:v>Other management related occupations (e.g., buyers and purchasing agents, claims adjusters, compliance officers, logisticians, management analysts, marketing specialists) </x:v>
      </x:c>
      <x:c r="C291" s="35" t="str">
        <x:v>13-1074.00</x:v>
      </x:c>
      <x:c r="D291" s="12" t="str">
        <x:v>Farm Labor Contractors</x:v>
      </x:c>
      <x:c r="E291" s="2" t="str">
        <x:v>Include</x:v>
      </x:c>
      <x:c r="F291" s="2" t="str">
        <x:v>Yes</x:v>
      </x:c>
      <x:c r="G291" s="15" t="str">
        <x:v>6/6</x:v>
      </x:c>
      <x:c r="H291" s="18" t="n">
        <x:v>3</x:v>
      </x:c>
      <x:c r="I291" s="18" t="n">
        <x:v>2.83</x:v>
      </x:c>
      <x:c r="J291" s="18" t="n">
        <x:v>3.33</x:v>
      </x:c>
      <x:c r="K291" s="18" t="n">
        <x:v>5</x:v>
      </x:c>
      <x:c r="L291" s="18" t="n">
        <x:v>2.67</x:v>
      </x:c>
      <x:c r="M291" s="18" t="n">
        <x:v>4.33</x:v>
      </x:c>
      <x:c r="N291" s="12" t="str">
        <x:v>Recruit and hire seasonal or temporary agricultural laborers. May transport, house, and provide meals for workers.</x:v>
      </x:c>
      <x:c r="O291" s="12" t="str">
        <x:v>https://www.onetonline.org/link/summary/13-1074.00</x:v>
      </x:c>
      <x:c r="P291" s="12" t="str">
        <x:v>Business operations minus the four separately listed personnel/training occupations. Finance is separate; farm labor contractors remain included.</x:v>
      </x:c>
    </x:row>
    <x:row r="292" ht="50.25" customHeight="1">
      <x:c r="A292" s="15" t="str">
        <x:v>721530</x:v>
      </x:c>
      <x:c r="B292" s="12" t="str">
        <x:v>Other management related occupations (e.g., buyers and purchasing agents, claims adjusters, compliance officers, logisticians, management analysts, marketing specialists) </x:v>
      </x:c>
      <x:c r="C292" s="35" t="str">
        <x:v>13-1081.00</x:v>
      </x:c>
      <x:c r="D292" s="12" t="str">
        <x:v>Logisticians</x:v>
      </x:c>
      <x:c r="E292" s="2" t="str">
        <x:v>Include</x:v>
      </x:c>
      <x:c r="F292" s="2" t="str">
        <x:v>Yes</x:v>
      </x:c>
      <x:c r="G292" s="15" t="str">
        <x:v>6/6</x:v>
      </x:c>
      <x:c r="H292" s="18" t="n">
        <x:v>5.33</x:v>
      </x:c>
      <x:c r="I292" s="18" t="n">
        <x:v>4.83</x:v>
      </x:c>
      <x:c r="J292" s="18" t="n">
        <x:v>5</x:v>
      </x:c>
      <x:c r="K292" s="18" t="n">
        <x:v>5</x:v>
      </x:c>
      <x:c r="L292" s="18" t="n">
        <x:v>4.33</x:v>
      </x:c>
      <x:c r="M292" s="18" t="n">
        <x:v>5.67</x:v>
      </x:c>
      <x:c r="N292" s="12" t="str">
        <x:v>Analyze and coordinate the ongoing logistical functions of a firm or organization. Responsible for the entire life cycle of a product, including acquisition, distribution, internal allocation, delivery, and final disposal of resources.</x:v>
      </x:c>
      <x:c r="O292" s="12" t="str">
        <x:v>https://www.onetonline.org/link/summary/13-1081.00</x:v>
      </x:c>
      <x:c r="P292" s="12" t="str">
        <x:v>Business operations minus the four separately listed personnel/training occupations. Finance is separate; farm labor contractors remain included.</x:v>
      </x:c>
    </x:row>
    <x:row r="293" ht="50.25" customHeight="1">
      <x:c r="A293" s="15" t="str">
        <x:v>721530</x:v>
      </x:c>
      <x:c r="B293" s="12" t="str">
        <x:v>Other management related occupations (e.g., buyers and purchasing agents, claims adjusters, compliance officers, logisticians, management analysts, marketing specialists) </x:v>
      </x:c>
      <x:c r="C293" s="35" t="str">
        <x:v>13-1082.00</x:v>
      </x:c>
      <x:c r="D293" s="12" t="str">
        <x:v>Project Management Specialists</x:v>
      </x:c>
      <x:c r="E293" s="2" t="str">
        <x:v>Exclude (no Work Values)</x:v>
      </x:c>
      <x:c r="F293" s="2" t="str">
        <x:v>Yes</x:v>
      </x:c>
      <x:c r="G293" s="15" t="str">
        <x:v>0/6</x:v>
      </x:c>
      <x:c r="H293" s="18"/>
      <x:c r="I293" s="18"/>
      <x:c r="J293" s="18"/>
      <x:c r="K293" s="18"/>
      <x:c r="L293" s="18"/>
      <x:c r="M293" s="18"/>
      <x:c r="N293" s="12" t="str">
        <x:v>Analyze and coordinate the schedule, timeline, procurement, staffing, and budget of a product or service on a per project basis. Lead and guide the work of technical staff. May serve as a point of contact for the client or customer.</x:v>
      </x:c>
      <x:c r="O293" s="12" t="str">
        <x:v>https://www.onetonline.org/link/summary/13-1082.00</x:v>
      </x:c>
      <x:c r="P293" s="12" t="str">
        <x:v>Business operations minus the four separately listed personnel/training occupations. Finance is separate; farm labor contractors remain included.</x:v>
      </x:c>
    </x:row>
    <x:row r="294" ht="50.25" customHeight="1">
      <x:c r="A294" s="15" t="str">
        <x:v>721530</x:v>
      </x:c>
      <x:c r="B294" s="12" t="str">
        <x:v>Other management related occupations (e.g., buyers and purchasing agents, claims adjusters, compliance officers, logisticians, management analysts, marketing specialists) </x:v>
      </x:c>
      <x:c r="C294" s="35" t="str">
        <x:v>13-1111.00</x:v>
      </x:c>
      <x:c r="D294" s="12" t="str">
        <x:v>Management Analysts</x:v>
      </x:c>
      <x:c r="E294" s="2" t="str">
        <x:v>Include</x:v>
      </x:c>
      <x:c r="F294" s="2" t="str">
        <x:v>Yes</x:v>
      </x:c>
      <x:c r="G294" s="15" t="str">
        <x:v>6/6</x:v>
      </x:c>
      <x:c r="H294" s="18" t="n">
        <x:v>5.33</x:v>
      </x:c>
      <x:c r="I294" s="18" t="n">
        <x:v>5.17</x:v>
      </x:c>
      <x:c r="J294" s="18" t="n">
        <x:v>5</x:v>
      </x:c>
      <x:c r="K294" s="18" t="n">
        <x:v>6</x:v>
      </x:c>
      <x:c r="L294" s="18" t="n">
        <x:v>3.67</x:v>
      </x:c>
      <x:c r="M294" s="18" t="n">
        <x:v>5.33</x:v>
      </x:c>
      <x:c r="N294" s="12" t="str">
        <x:v>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x:v>
      </x:c>
      <x:c r="O294" s="12" t="str">
        <x:v>https://www.onetonline.org/link/summary/13-1111.00</x:v>
      </x:c>
      <x:c r="P294" s="12" t="str">
        <x:v>Business operations minus the four separately listed personnel/training occupations. Finance is separate; farm labor contractors remain included.</x:v>
      </x:c>
    </x:row>
    <x:row r="295" ht="50.25" customHeight="1">
      <x:c r="A295" s="15" t="str">
        <x:v>721530</x:v>
      </x:c>
      <x:c r="B295" s="12" t="str">
        <x:v>Other management related occupations (e.g., buyers and purchasing agents, claims adjusters, compliance officers, logisticians, management analysts, marketing specialists) </x:v>
      </x:c>
      <x:c r="C295" s="35" t="str">
        <x:v>13-1121.00</x:v>
      </x:c>
      <x:c r="D295" s="12" t="str">
        <x:v>Meeting, Convention, and Event Planners</x:v>
      </x:c>
      <x:c r="E295" s="2" t="str">
        <x:v>Include</x:v>
      </x:c>
      <x:c r="F295" s="2" t="str">
        <x:v>Yes</x:v>
      </x:c>
      <x:c r="G295" s="15" t="str">
        <x:v>6/6</x:v>
      </x:c>
      <x:c r="H295" s="18" t="n">
        <x:v>5</x:v>
      </x:c>
      <x:c r="I295" s="18" t="n">
        <x:v>4.83</x:v>
      </x:c>
      <x:c r="J295" s="18" t="n">
        <x:v>5</x:v>
      </x:c>
      <x:c r="K295" s="18" t="n">
        <x:v>6.33</x:v>
      </x:c>
      <x:c r="L295" s="18" t="n">
        <x:v>3.33</x:v>
      </x:c>
      <x:c r="M295" s="18" t="n">
        <x:v>5.33</x:v>
      </x:c>
      <x:c r="N295" s="12" t="str">
        <x:v>Coordinate activities of staff, convention personnel, or clients to make arrangements for group meetings, events, or conventions.</x:v>
      </x:c>
      <x:c r="O295" s="12" t="str">
        <x:v>https://www.onetonline.org/link/summary/13-1121.00</x:v>
      </x:c>
      <x:c r="P295" s="12" t="str">
        <x:v>Business operations minus the four separately listed personnel/training occupations. Finance is separate; farm labor contractors remain included.</x:v>
      </x:c>
    </x:row>
    <x:row r="296" ht="50.25" customHeight="1">
      <x:c r="A296" s="15" t="str">
        <x:v>721530</x:v>
      </x:c>
      <x:c r="B296" s="12" t="str">
        <x:v>Other management related occupations (e.g., buyers and purchasing agents, claims adjusters, compliance officers, logisticians, management analysts, marketing specialists) </x:v>
      </x:c>
      <x:c r="C296" s="35" t="str">
        <x:v>13-1131.00</x:v>
      </x:c>
      <x:c r="D296" s="12" t="str">
        <x:v>Fundraisers</x:v>
      </x:c>
      <x:c r="E296" s="2" t="str">
        <x:v>Include</x:v>
      </x:c>
      <x:c r="F296" s="2" t="str">
        <x:v>Yes</x:v>
      </x:c>
      <x:c r="G296" s="15" t="str">
        <x:v>6/6</x:v>
      </x:c>
      <x:c r="H296" s="18" t="n">
        <x:v>6.67</x:v>
      </x:c>
      <x:c r="I296" s="18" t="n">
        <x:v>5.33</x:v>
      </x:c>
      <x:c r="J296" s="18" t="n">
        <x:v>4.67</x:v>
      </x:c>
      <x:c r="K296" s="18" t="n">
        <x:v>6.67</x:v>
      </x:c>
      <x:c r="L296" s="18" t="n">
        <x:v>4</x:v>
      </x:c>
      <x:c r="M296" s="18" t="n">
        <x:v>6</x:v>
      </x:c>
      <x:c r="N296" s="12" t="str">
        <x:v>Organize activities to raise funds or otherwise solicit and gather monetary donations or other gifts for an organization. May design and produce promotional materials. May also raise awareness of the organization's work, goals, and financial needs.</x:v>
      </x:c>
      <x:c r="O296" s="12" t="str">
        <x:v>https://www.onetonline.org/link/summary/13-1131.00</x:v>
      </x:c>
      <x:c r="P296" s="12" t="str">
        <x:v>Business operations minus the four separately listed personnel/training occupations. Finance is separate; farm labor contractors remain included.</x:v>
      </x:c>
    </x:row>
    <x:row r="297" ht="50.25" customHeight="1">
      <x:c r="A297" s="15" t="str">
        <x:v>721530</x:v>
      </x:c>
      <x:c r="B297" s="12" t="str">
        <x:v>Other management related occupations (e.g., buyers and purchasing agents, claims adjusters, compliance officers, logisticians, management analysts, marketing specialists) </x:v>
      </x:c>
      <x:c r="C297" s="35" t="str">
        <x:v>13-1161.00</x:v>
      </x:c>
      <x:c r="D297" s="12" t="str">
        <x:v>Market Research Analysts and Marketing Specialists</x:v>
      </x:c>
      <x:c r="E297" s="2" t="str">
        <x:v>Include</x:v>
      </x:c>
      <x:c r="F297" s="2" t="str">
        <x:v>Yes</x:v>
      </x:c>
      <x:c r="G297" s="15" t="str">
        <x:v>6/6</x:v>
      </x:c>
      <x:c r="H297" s="18" t="n">
        <x:v>4.67</x:v>
      </x:c>
      <x:c r="I297" s="18" t="n">
        <x:v>4.33</x:v>
      </x:c>
      <x:c r="J297" s="18" t="n">
        <x:v>3.67</x:v>
      </x:c>
      <x:c r="K297" s="18" t="n">
        <x:v>3.33</x:v>
      </x:c>
      <x:c r="L297" s="18" t="n">
        <x:v>4.33</x:v>
      </x:c>
      <x:c r="M297" s="18" t="n">
        <x:v>4</x:v>
      </x:c>
      <x:c r="N297" s="12" t="str">
        <x:v>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x:v>
      </x:c>
      <x:c r="O297" s="12" t="str">
        <x:v>https://www.onetonline.org/link/summary/13-1161.00</x:v>
      </x:c>
      <x:c r="P297" s="12" t="str">
        <x:v>Business operations minus the four separately listed personnel/training occupations. Finance is separate; farm labor contractors remain included.</x:v>
      </x:c>
    </x:row>
    <x:row r="298" ht="50.25" customHeight="1">
      <x:c r="A298" s="15" t="str">
        <x:v>721530</x:v>
      </x:c>
      <x:c r="B298" s="12" t="str">
        <x:v>Other management related occupations (e.g., buyers and purchasing agents, claims adjusters, compliance officers, logisticians, management analysts, marketing specialists) </x:v>
      </x:c>
      <x:c r="C298" s="35" t="str">
        <x:v>13-1199.00</x:v>
      </x:c>
      <x:c r="D298" s="12" t="str">
        <x:v>Business Operations Specialists, All Other</x:v>
      </x:c>
      <x:c r="E298" s="2" t="str">
        <x:v>Exclude (no Work Values)</x:v>
      </x:c>
      <x:c r="F298" s="2" t="str">
        <x:v>Yes</x:v>
      </x:c>
      <x:c r="G298" s="15" t="str">
        <x:v>0/6</x:v>
      </x:c>
      <x:c r="H298" s="18"/>
      <x:c r="I298" s="18"/>
      <x:c r="J298" s="18"/>
      <x:c r="K298" s="18"/>
      <x:c r="L298" s="18"/>
      <x:c r="M298" s="18"/>
      <x:c r="N298" s="12" t="str">
        <x:v>All business operations specialists not listed separately.</x:v>
      </x:c>
      <x:c r="O298" s="12" t="str">
        <x:v>https://www.onetonline.org/link/summary/13-1199.00</x:v>
      </x:c>
      <x:c r="P298" s="12" t="str">
        <x:v>Business operations minus the four separately listed personnel/training occupations. Finance is separate; farm labor contractors remain included.</x:v>
      </x:c>
    </x:row>
    <x:row r="299" ht="36" customHeight="1">
      <x:c r="A299" s="15" t="str">
        <x:v>732510</x:v>
      </x:c>
      <x:c r="B299" s="12" t="str">
        <x:v>Teachers: Preschool and kindergarten </x:v>
      </x:c>
      <x:c r="C299" s="35" t="str">
        <x:v>25-2011.00</x:v>
      </x:c>
      <x:c r="D299" s="12" t="str">
        <x:v>Preschool Teachers, Except Special Education</x:v>
      </x:c>
      <x:c r="E299" s="2" t="str">
        <x:v>Include</x:v>
      </x:c>
      <x:c r="F299" s="2" t="str">
        <x:v>Yes</x:v>
      </x:c>
      <x:c r="G299" s="15" t="str">
        <x:v>6/6</x:v>
      </x:c>
      <x:c r="H299" s="18" t="n">
        <x:v>4.67</x:v>
      </x:c>
      <x:c r="I299" s="18" t="n">
        <x:v>3.67</x:v>
      </x:c>
      <x:c r="J299" s="18" t="n">
        <x:v>3</x:v>
      </x:c>
      <x:c r="K299" s="18" t="n">
        <x:v>6.33</x:v>
      </x:c>
      <x:c r="L299" s="18" t="n">
        <x:v>3.67</x:v>
      </x:c>
      <x:c r="M299" s="18" t="n">
        <x:v>4.33</x:v>
      </x:c>
      <x:c r="N299" s="12" t="str">
        <x:v>Instruct preschool-aged students, following curricula or lesson plans, in activities designed to promote social, physical, and intellectual growth.</x:v>
      </x:c>
      <x:c r="O299" s="12" t="str">
        <x:v>https://www.onetonline.org/link/summary/25-2011.00</x:v>
      </x:c>
      <x:c r="P299" s="12" t="str">
        <x:v>Mean of preschool and kindergarten teachers.</x:v>
      </x:c>
    </x:row>
    <x:row r="300" ht="36" customHeight="1">
      <x:c r="A300" s="15" t="str">
        <x:v>732510</x:v>
      </x:c>
      <x:c r="B300" s="12" t="str">
        <x:v>Teachers: Preschool and kindergarten </x:v>
      </x:c>
      <x:c r="C300" s="35" t="str">
        <x:v>25-2012.00</x:v>
      </x:c>
      <x:c r="D300" s="12" t="str">
        <x:v>Kindergarten Teachers, Except Special Education</x:v>
      </x:c>
      <x:c r="E300" s="2" t="str">
        <x:v>Include</x:v>
      </x:c>
      <x:c r="F300" s="2" t="str">
        <x:v>Yes</x:v>
      </x:c>
      <x:c r="G300" s="15" t="str">
        <x:v>6/6</x:v>
      </x:c>
      <x:c r="H300" s="18" t="n">
        <x:v>5.33</x:v>
      </x:c>
      <x:c r="I300" s="18" t="n">
        <x:v>5</x:v>
      </x:c>
      <x:c r="J300" s="18" t="n">
        <x:v>4.33</x:v>
      </x:c>
      <x:c r="K300" s="18" t="n">
        <x:v>6.67</x:v>
      </x:c>
      <x:c r="L300" s="18" t="n">
        <x:v>3.67</x:v>
      </x:c>
      <x:c r="M300" s="18" t="n">
        <x:v>5</x:v>
      </x:c>
      <x:c r="N300" s="12" t="str">
        <x:v>Teach academic and social skills to kindergarten students.</x:v>
      </x:c>
      <x:c r="O300" s="12" t="str">
        <x:v>https://www.onetonline.org/link/summary/25-2012.00</x:v>
      </x:c>
      <x:c r="P300" s="12" t="str">
        <x:v>Mean of preschool and kindergarten teachers.</x:v>
      </x:c>
    </x:row>
    <x:row r="301" ht="36" customHeight="1">
      <x:c r="A301" s="15" t="str">
        <x:v>732520</x:v>
      </x:c>
      <x:c r="B301" s="12" t="str">
        <x:v>Teachers: Elementary and middle school </x:v>
      </x:c>
      <x:c r="C301" s="35" t="str">
        <x:v>25-2021.00</x:v>
      </x:c>
      <x:c r="D301" s="12" t="str">
        <x:v>Elementary School Teachers, Except Special Education</x:v>
      </x:c>
      <x:c r="E301" s="2" t="str">
        <x:v>Include</x:v>
      </x:c>
      <x:c r="F301" s="2" t="str">
        <x:v>Yes</x:v>
      </x:c>
      <x:c r="G301" s="15" t="str">
        <x:v>6/6</x:v>
      </x:c>
      <x:c r="H301" s="18" t="n">
        <x:v>5.67</x:v>
      </x:c>
      <x:c r="I301" s="18" t="n">
        <x:v>5</x:v>
      </x:c>
      <x:c r="J301" s="18" t="n">
        <x:v>4.33</x:v>
      </x:c>
      <x:c r="K301" s="18" t="n">
        <x:v>6.33</x:v>
      </x:c>
      <x:c r="L301" s="18" t="n">
        <x:v>5</x:v>
      </x:c>
      <x:c r="M301" s="18" t="n">
        <x:v>5.33</x:v>
      </x:c>
      <x:c r="N301" s="12" t="str">
        <x:v>Teach academic and social skills to students at the elementary school level.</x:v>
      </x:c>
      <x:c r="O301" s="12" t="str">
        <x:v>https://www.onetonline.org/link/summary/25-2021.00</x:v>
      </x:c>
      <x:c r="P301" s="12" t="str">
        <x:v>Elementary, general middle-school and middle-school vocational teachers.</x:v>
      </x:c>
    </x:row>
    <x:row r="302" ht="37.5" customHeight="1">
      <x:c r="A302" s="15" t="str">
        <x:v>732520</x:v>
      </x:c>
      <x:c r="B302" s="12" t="str">
        <x:v>Teachers: Elementary and middle school </x:v>
      </x:c>
      <x:c r="C302" s="35" t="str">
        <x:v>25-2022.00</x:v>
      </x:c>
      <x:c r="D302" s="12" t="str">
        <x:v>Middle School Teachers, Except Special and Career/Technical Education</x:v>
      </x:c>
      <x:c r="E302" s="2" t="str">
        <x:v>Include</x:v>
      </x:c>
      <x:c r="F302" s="2" t="str">
        <x:v>Yes</x:v>
      </x:c>
      <x:c r="G302" s="15" t="str">
        <x:v>6/6</x:v>
      </x:c>
      <x:c r="H302" s="18" t="n">
        <x:v>5</x:v>
      </x:c>
      <x:c r="I302" s="18" t="n">
        <x:v>4.67</x:v>
      </x:c>
      <x:c r="J302" s="18" t="n">
        <x:v>4</x:v>
      </x:c>
      <x:c r="K302" s="18" t="n">
        <x:v>6.33</x:v>
      </x:c>
      <x:c r="L302" s="18" t="n">
        <x:v>3.33</x:v>
      </x:c>
      <x:c r="M302" s="18" t="n">
        <x:v>5.33</x:v>
      </x:c>
      <x:c r="N302" s="12" t="str">
        <x:v>Teach one or more subjects to students at the middle, intermediate, or junior high school level.</x:v>
      </x:c>
      <x:c r="O302" s="12" t="str">
        <x:v>https://www.onetonline.org/link/summary/25-2022.00</x:v>
      </x:c>
      <x:c r="P302" s="12" t="str">
        <x:v>Elementary, general middle-school and middle-school vocational teachers.</x:v>
      </x:c>
    </x:row>
    <x:row r="303" ht="36" customHeight="1">
      <x:c r="A303" s="15" t="str">
        <x:v>732520</x:v>
      </x:c>
      <x:c r="B303" s="12" t="str">
        <x:v>Teachers: Elementary and middle school </x:v>
      </x:c>
      <x:c r="C303" s="35" t="str">
        <x:v>25-2023.00</x:v>
      </x:c>
      <x:c r="D303" s="12" t="str">
        <x:v>Career/Technical Education Teachers, Middle School</x:v>
      </x:c>
      <x:c r="E303" s="2" t="str">
        <x:v>Include</x:v>
      </x:c>
      <x:c r="F303" s="2" t="str">
        <x:v>Yes</x:v>
      </x:c>
      <x:c r="G303" s="15" t="str">
        <x:v>6/6</x:v>
      </x:c>
      <x:c r="H303" s="18" t="n">
        <x:v>5.33</x:v>
      </x:c>
      <x:c r="I303" s="18" t="n">
        <x:v>4.67</x:v>
      </x:c>
      <x:c r="J303" s="18" t="n">
        <x:v>4.33</x:v>
      </x:c>
      <x:c r="K303" s="18" t="n">
        <x:v>6</x:v>
      </x:c>
      <x:c r="L303" s="18" t="n">
        <x:v>4.33</x:v>
      </x:c>
      <x:c r="M303" s="18" t="n">
        <x:v>5.33</x:v>
      </x:c>
      <x:c r="N303" s="12" t="str">
        <x:v>Teach occupational, vocational, career, or technical subjects to students at the middle, intermediate, or junior high school level.</x:v>
      </x:c>
      <x:c r="O303" s="12" t="str">
        <x:v>https://www.onetonline.org/link/summary/25-2023.00</x:v>
      </x:c>
      <x:c r="P303" s="12" t="str">
        <x:v>Elementary, general middle-school and middle-school vocational teachers.</x:v>
      </x:c>
    </x:row>
    <x:row r="304" ht="37.5" customHeight="1">
      <x:c r="A304" s="15" t="str">
        <x:v>732550</x:v>
      </x:c>
      <x:c r="B304" s="12" t="str">
        <x:v>Teachers: Secondary - other subjects</x:v>
      </x:c>
      <x:c r="C304" s="35" t="str">
        <x:v>25-2031.00</x:v>
      </x:c>
      <x:c r="D304" s="12" t="str">
        <x:v>Secondary School Teachers, Except Special and Career/Technical Education</x:v>
      </x:c>
      <x:c r="E304" s="2" t="str">
        <x:v>Include</x:v>
      </x:c>
      <x:c r="F304" s="2" t="str">
        <x:v>Yes</x:v>
      </x:c>
      <x:c r="G304" s="15" t="str">
        <x:v>6/6</x:v>
      </x:c>
      <x:c r="H304" s="18" t="n">
        <x:v>5.67</x:v>
      </x:c>
      <x:c r="I304" s="18" t="n">
        <x:v>5.33</x:v>
      </x:c>
      <x:c r="J304" s="18" t="n">
        <x:v>4</x:v>
      </x:c>
      <x:c r="K304" s="18" t="n">
        <x:v>7</x:v>
      </x:c>
      <x:c r="L304" s="18" t="n">
        <x:v>4.67</x:v>
      </x:c>
      <x:c r="M304" s="18" t="n">
        <x:v>5</x:v>
      </x:c>
      <x:c r="N304" s="12" t="str">
        <x:v>Teach one or more subjects to students at the secondary school level.</x:v>
      </x:c>
      <x:c r="O304" s="12" t="str">
        <x:v>https://www.onetonline.org/link/summary/25-2031.00</x:v>
      </x:c>
      <x:c r="P304" s="12" t="str">
        <x:v>General and vocational secondary-school teachers represent other subjects.</x:v>
      </x:c>
    </x:row>
    <x:row r="305" ht="37.5" customHeight="1">
      <x:c r="A305" s="15" t="str">
        <x:v>732550</x:v>
      </x:c>
      <x:c r="B305" s="12" t="str">
        <x:v>Teachers: Secondary - other subjects</x:v>
      </x:c>
      <x:c r="C305" s="35" t="str">
        <x:v>25-2032.00</x:v>
      </x:c>
      <x:c r="D305" s="12" t="str">
        <x:v>Career/Technical Education Teachers, Secondary School</x:v>
      </x:c>
      <x:c r="E305" s="2" t="str">
        <x:v>Include</x:v>
      </x:c>
      <x:c r="F305" s="2" t="str">
        <x:v>Yes</x:v>
      </x:c>
      <x:c r="G305" s="15" t="str">
        <x:v>6/6</x:v>
      </x:c>
      <x:c r="H305" s="18" t="n">
        <x:v>5.33</x:v>
      </x:c>
      <x:c r="I305" s="18" t="n">
        <x:v>4.83</x:v>
      </x:c>
      <x:c r="J305" s="18" t="n">
        <x:v>4.33</x:v>
      </x:c>
      <x:c r="K305" s="18" t="n">
        <x:v>6</x:v>
      </x:c>
      <x:c r="L305" s="18" t="n">
        <x:v>4.33</x:v>
      </x:c>
      <x:c r="M305" s="18" t="n">
        <x:v>5.33</x:v>
      </x:c>
      <x:c r="N305" s="12" t="str">
        <x:v>Teach occupational, vocational, career, or technical subjects to students at the secondary school level.</x:v>
      </x:c>
      <x:c r="O305" s="12" t="str">
        <x:v>https://www.onetonline.org/link/summary/25-2032.00</x:v>
      </x:c>
      <x:c r="P305" s="12" t="str">
        <x:v>General and vocational secondary-school teachers represent other subjects.</x:v>
      </x:c>
    </x:row>
    <x:row r="306" ht="37.5" customHeight="1">
      <x:c r="A306" s="15" t="str">
        <x:v>732560</x:v>
      </x:c>
      <x:c r="B306" s="12" t="str">
        <x:v>Teachers: Special education - primary and secondary school</x:v>
      </x:c>
      <x:c r="C306" s="35" t="str">
        <x:v>25-2051.00</x:v>
      </x:c>
      <x:c r="D306" s="12" t="str">
        <x:v>Special Education Teachers, Preschool</x:v>
      </x:c>
      <x:c r="E306" s="2" t="str">
        <x:v>Exclude (outside scope)</x:v>
      </x:c>
      <x:c r="F306" s="2" t="str">
        <x:v>Yes</x:v>
      </x:c>
      <x:c r="G306" s="15" t="str">
        <x:v>6/6</x:v>
      </x:c>
      <x:c r="H306" s="18" t="n">
        <x:v>5.67</x:v>
      </x:c>
      <x:c r="I306" s="18" t="n">
        <x:v>4</x:v>
      </x:c>
      <x:c r="J306" s="18" t="n">
        <x:v>4.33</x:v>
      </x:c>
      <x:c r="K306" s="18" t="n">
        <x:v>7</x:v>
      </x:c>
      <x:c r="L306" s="18" t="n">
        <x:v>4</x:v>
      </x:c>
      <x:c r="M306" s="18" t="n">
        <x:v>4.67</x:v>
      </x:c>
      <x:c r="N306" s="12" t="str">
        <x:v>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x:v>
      </x:c>
      <x:c r="O306" s="12" t="str">
        <x:v>https://www.onetonline.org/link/summary/25-2051.00</x:v>
      </x:c>
      <x:c r="P306" s="12" t="str">
        <x:v>Outside the kindergarten-to-secondary special-education group: preschool or unspecified school level.</x:v>
      </x:c>
    </x:row>
    <x:row r="307" ht="37.5" customHeight="1">
      <x:c r="A307" s="15" t="str">
        <x:v>732560</x:v>
      </x:c>
      <x:c r="B307" s="12" t="str">
        <x:v>Teachers: Special education - primary and secondary school</x:v>
      </x:c>
      <x:c r="C307" s="35" t="str">
        <x:v>25-2055.00</x:v>
      </x:c>
      <x:c r="D307" s="12" t="str">
        <x:v>Special Education Teachers, Kindergarten</x:v>
      </x:c>
      <x:c r="E307" s="2" t="str">
        <x:v>Exclude (no Work Values)</x:v>
      </x:c>
      <x:c r="F307" s="2" t="str">
        <x:v>Yes</x:v>
      </x:c>
      <x:c r="G307" s="15" t="str">
        <x:v>0/6</x:v>
      </x:c>
      <x:c r="H307" s="18"/>
      <x:c r="I307" s="18"/>
      <x:c r="J307" s="18"/>
      <x:c r="K307" s="18"/>
      <x:c r="L307" s="18"/>
      <x:c r="M307" s="18"/>
      <x:c r="N307" s="12" t="str">
        <x:v>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x:v>
      </x:c>
      <x:c r="O307" s="12" t="str">
        <x:v>https://www.onetonline.org/link/summary/25-2055.00</x:v>
      </x:c>
      <x:c r="P307" s="12" t="str">
        <x:v>Kindergarten through secondary special education; exclude preschool and unspecified levels. Treat kindergarten as primary education.</x:v>
      </x:c>
    </x:row>
    <x:row r="308" ht="37.5" customHeight="1">
      <x:c r="A308" s="15" t="str">
        <x:v>732560</x:v>
      </x:c>
      <x:c r="B308" s="12" t="str">
        <x:v>Teachers: Special education - primary and secondary school</x:v>
      </x:c>
      <x:c r="C308" s="35" t="str">
        <x:v>25-2056.00</x:v>
      </x:c>
      <x:c r="D308" s="12" t="str">
        <x:v>Special Education Teachers, Elementary School</x:v>
      </x:c>
      <x:c r="E308" s="2" t="str">
        <x:v>Exclude (no Work Values)</x:v>
      </x:c>
      <x:c r="F308" s="2" t="str">
        <x:v>Yes</x:v>
      </x:c>
      <x:c r="G308" s="15" t="str">
        <x:v>0/6</x:v>
      </x:c>
      <x:c r="H308" s="18"/>
      <x:c r="I308" s="18"/>
      <x:c r="J308" s="18"/>
      <x:c r="K308" s="18"/>
      <x:c r="L308" s="18"/>
      <x:c r="M308" s="18"/>
      <x:c r="N308" s="12" t="str">
        <x:v>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x:v>
      </x:c>
      <x:c r="O308" s="12" t="str">
        <x:v>https://www.onetonline.org/link/summary/25-2056.00</x:v>
      </x:c>
      <x:c r="P308" s="12" t="str">
        <x:v>Kindergarten through secondary special education; exclude preschool and unspecified levels. Treat kindergarten as primary education.</x:v>
      </x:c>
    </x:row>
    <x:row r="309" ht="37.5" customHeight="1">
      <x:c r="A309" s="15" t="str">
        <x:v>732560</x:v>
      </x:c>
      <x:c r="B309" s="12" t="str">
        <x:v>Teachers: Special education - primary and secondary school</x:v>
      </x:c>
      <x:c r="C309" s="35" t="str">
        <x:v>25-2057.00</x:v>
      </x:c>
      <x:c r="D309" s="12" t="str">
        <x:v>Special Education Teachers, Middle School</x:v>
      </x:c>
      <x:c r="E309" s="2" t="str">
        <x:v>Include</x:v>
      </x:c>
      <x:c r="F309" s="2" t="str">
        <x:v>Yes</x:v>
      </x:c>
      <x:c r="G309" s="15" t="str">
        <x:v>6/6</x:v>
      </x:c>
      <x:c r="H309" s="18" t="n">
        <x:v>5</x:v>
      </x:c>
      <x:c r="I309" s="18" t="n">
        <x:v>5.33</x:v>
      </x:c>
      <x:c r="J309" s="18" t="n">
        <x:v>3.67</x:v>
      </x:c>
      <x:c r="K309" s="18" t="n">
        <x:v>6.33</x:v>
      </x:c>
      <x:c r="L309" s="18" t="n">
        <x:v>4</x:v>
      </x:c>
      <x:c r="M309" s="18" t="n">
        <x:v>4.67</x:v>
      </x:c>
      <x:c r="N309" s="12" t="str">
        <x:v>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x:v>
      </x:c>
      <x:c r="O309" s="12" t="str">
        <x:v>https://www.onetonline.org/link/summary/25-2057.00</x:v>
      </x:c>
      <x:c r="P309" s="12" t="str">
        <x:v>Kindergarten through secondary special education; exclude preschool and unspecified levels. Treat kindergarten as primary education.</x:v>
      </x:c>
    </x:row>
    <x:row r="310" ht="37.5" customHeight="1">
      <x:c r="A310" s="15" t="str">
        <x:v>732560</x:v>
      </x:c>
      <x:c r="B310" s="12" t="str">
        <x:v>Teachers: Special education - primary and secondary school</x:v>
      </x:c>
      <x:c r="C310" s="35" t="str">
        <x:v>25-2058.00</x:v>
      </x:c>
      <x:c r="D310" s="12" t="str">
        <x:v>Special Education Teachers, Secondary School</x:v>
      </x:c>
      <x:c r="E310" s="2" t="str">
        <x:v>Include</x:v>
      </x:c>
      <x:c r="F310" s="2" t="str">
        <x:v>Yes</x:v>
      </x:c>
      <x:c r="G310" s="15" t="str">
        <x:v>6/6</x:v>
      </x:c>
      <x:c r="H310" s="18" t="n">
        <x:v>5.67</x:v>
      </x:c>
      <x:c r="I310" s="18" t="n">
        <x:v>5</x:v>
      </x:c>
      <x:c r="J310" s="18" t="n">
        <x:v>4.33</x:v>
      </x:c>
      <x:c r="K310" s="18" t="n">
        <x:v>7</x:v>
      </x:c>
      <x:c r="L310" s="18" t="n">
        <x:v>4</x:v>
      </x:c>
      <x:c r="M310" s="18" t="n">
        <x:v>5.33</x:v>
      </x:c>
      <x:c r="N310" s="12" t="str">
        <x:v>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x:v>
      </x:c>
      <x:c r="O310" s="12" t="str">
        <x:v>https://www.onetonline.org/link/summary/25-2058.00</x:v>
      </x:c>
      <x:c r="P310" s="12" t="str">
        <x:v>Kindergarten through secondary special education; exclude preschool and unspecified levels. Treat kindergarten as primary education.</x:v>
      </x:c>
    </x:row>
    <x:row r="311" ht="37.5" customHeight="1">
      <x:c r="A311" s="15" t="str">
        <x:v>732560</x:v>
      </x:c>
      <x:c r="B311" s="12" t="str">
        <x:v>Teachers: Special education - primary and secondary school</x:v>
      </x:c>
      <x:c r="C311" s="35" t="str">
        <x:v>25-2059.00</x:v>
      </x:c>
      <x:c r="D311" s="12" t="str">
        <x:v>Special Education Teachers, All Other</x:v>
      </x:c>
      <x:c r="E311" s="2" t="str">
        <x:v>Exclude (outside scope)</x:v>
      </x:c>
      <x:c r="F311" s="2" t="str">
        <x:v>Yes</x:v>
      </x:c>
      <x:c r="G311" s="15" t="str">
        <x:v>0/6</x:v>
      </x:c>
      <x:c r="H311" s="18"/>
      <x:c r="I311" s="18"/>
      <x:c r="J311" s="18"/>
      <x:c r="K311" s="18"/>
      <x:c r="L311" s="18"/>
      <x:c r="M311" s="18"/>
      <x:c r="N311" s="12" t="str">
        <x:v>All special education teachers not listed separately.</x:v>
      </x:c>
      <x:c r="O311" s="12" t="str">
        <x:v>https://www.onetonline.org/link/summary/25-2059.00</x:v>
      </x:c>
      <x:c r="P311" s="12" t="str">
        <x:v>Outside the kindergarten-to-secondary special-education group: preschool or unspecified school level.</x:v>
      </x:c>
    </x:row>
    <x:row r="312" ht="37.5" customHeight="1">
      <x:c r="A312" s="15" t="str">
        <x:v>732570</x:v>
      </x:c>
      <x:c r="B312" s="12" t="str">
        <x:v>Teachers: Other precollegiate area</x:v>
      </x:c>
      <x:c r="C312" s="35" t="str">
        <x:v>25-3011.00</x:v>
      </x:c>
      <x:c r="D312" s="12" t="str">
        <x:v>Adult Basic Education, Adult Secondary Education, and English as a Second Language Instructors</x:v>
      </x:c>
      <x:c r="E312" s="2" t="str">
        <x:v>Exclude (uncertain mapping)</x:v>
      </x:c>
      <x:c r="F312" s="2" t="str">
        <x:v>Yes</x:v>
      </x:c>
      <x:c r="G312" s="15" t="str">
        <x:v>6/6</x:v>
      </x:c>
      <x:c r="H312" s="18" t="n">
        <x:v>5</x:v>
      </x:c>
      <x:c r="I312" s="18" t="n">
        <x:v>4.67</x:v>
      </x:c>
      <x:c r="J312" s="18" t="n">
        <x:v>4.67</x:v>
      </x:c>
      <x:c r="K312" s="18" t="n">
        <x:v>6</x:v>
      </x:c>
      <x:c r="L312" s="18" t="n">
        <x:v>3.67</x:v>
      </x:c>
      <x:c r="M312" s="18" t="n">
        <x:v>5</x:v>
      </x:c>
      <x:c r="N312" s="12" t="str">
        <x:v>Teach or instruct out-of-school youths and adults in basic education, literacy, or English as a Second Language classes, or in classes for earning a high school equivalency credential.</x:v>
      </x:c>
      <x:c r="O312" s="12" t="str">
        <x:v>https://www.onetonline.org/link/summary/25-3011.00</x:v>
      </x:c>
      <x:c r="P312" s="12" t="str">
        <x:v>Adult basic education, GED and ESL have ratings but cannot define the full NSCG category.</x:v>
      </x:c>
    </x:row>
    <x:row r="313" ht="37.5" customHeight="1">
      <x:c r="A313" s="15" t="str">
        <x:v>732570</x:v>
      </x:c>
      <x:c r="B313" s="12" t="str">
        <x:v>Teachers: Other precollegiate area</x:v>
      </x:c>
      <x:c r="C313" s="35" t="str">
        <x:v>25-3031.00</x:v>
      </x:c>
      <x:c r="D313" s="12" t="str">
        <x:v>Substitute Teachers, Short-Term</x:v>
      </x:c>
      <x:c r="E313" s="2" t="str">
        <x:v>Exclude (uncertain mapping)</x:v>
      </x:c>
      <x:c r="F313" s="2" t="str">
        <x:v>Yes</x:v>
      </x:c>
      <x:c r="G313" s="15" t="str">
        <x:v>0/6</x:v>
      </x:c>
      <x:c r="H313" s="18"/>
      <x:c r="I313" s="18"/>
      <x:c r="J313" s="18"/>
      <x:c r="K313" s="18"/>
      <x:c r="L313" s="18"/>
      <x:c r="M313" s="18"/>
      <x:c r="N313" s="12" t="str">
        <x:v>Teach students on a short-term basis as a temporary replacement for a regular classroom teacher, typically using the regular teacher's lesson plan.</x:v>
      </x:c>
      <x:c r="O313" s="12" t="str">
        <x:v>https://www.onetonline.org/link/summary/25-3031.00</x:v>
      </x:c>
      <x:c r="P313" s="12" t="str">
        <x:v>NSCG does not specify whether short-term substitutes belong here; no Work Values.</x:v>
      </x:c>
    </x:row>
    <x:row r="314" ht="36" customHeight="1">
      <x:c r="A314" s="15" t="str">
        <x:v>732570</x:v>
      </x:c>
      <x:c r="B314" s="12" t="str">
        <x:v>Teachers: Other precollegiate area</x:v>
      </x:c>
      <x:c r="C314" s="35" t="str">
        <x:v>25-3099.00</x:v>
      </x:c>
      <x:c r="D314" s="12" t="str">
        <x:v>Teachers and Instructors, All Other</x:v>
      </x:c>
      <x:c r="E314" s="2" t="str">
        <x:v>Exclude (uncertain mapping)</x:v>
      </x:c>
      <x:c r="F314" s="2" t="str">
        <x:v>Yes</x:v>
      </x:c>
      <x:c r="G314" s="15" t="str">
        <x:v>0/6</x:v>
      </x:c>
      <x:c r="H314" s="18"/>
      <x:c r="I314" s="18"/>
      <x:c r="J314" s="18"/>
      <x:c r="K314" s="18"/>
      <x:c r="L314" s="18"/>
      <x:c r="M314" s="18"/>
      <x:c r="N314" s="12" t="str">
        <x:v>All teachers and instructors not listed separately.</x:v>
      </x:c>
      <x:c r="O314" s="12" t="str">
        <x:v>https://www.onetonline.org/link/summary/25-3099.00</x:v>
      </x:c>
      <x:c r="P314" s="12" t="str">
        <x:v>Other teachers are not limited to precollege education; no Work Values.</x:v>
      </x:c>
    </x:row>
    <x:row r="315" ht="37.5" customHeight="1">
      <x:c r="A315" s="15" t="str">
        <x:v>732570</x:v>
      </x:c>
      <x:c r="B315" s="12" t="str">
        <x:v>Teachers: Other precollegiate area</x:v>
      </x:c>
      <x:c r="C315" s="35" t="str">
        <x:v>25-9031.00</x:v>
      </x:c>
      <x:c r="D315" s="12" t="str">
        <x:v>Instructional Coordinators</x:v>
      </x:c>
      <x:c r="E315" s="2" t="str">
        <x:v>Exclude (outside scope)</x:v>
      </x:c>
      <x:c r="F315" s="2" t="str">
        <x:v>Yes</x:v>
      </x:c>
      <x:c r="G315" s="15" t="str">
        <x:v>6/6</x:v>
      </x:c>
      <x:c r="H315" s="18" t="n">
        <x:v>5.67</x:v>
      </x:c>
      <x:c r="I315" s="18" t="n">
        <x:v>4.83</x:v>
      </x:c>
      <x:c r="J315" s="18" t="n">
        <x:v>4.67</x:v>
      </x:c>
      <x:c r="K315" s="18" t="n">
        <x:v>6</x:v>
      </x:c>
      <x:c r="L315" s="18" t="n">
        <x:v>3</x:v>
      </x:c>
      <x:c r="M315" s="18" t="n">
        <x:v>6</x:v>
      </x:c>
      <x:c r="N315" s="12" t="str">
        <x:v>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x:v>
      </x:c>
      <x:c r="O315" s="12" t="str">
        <x:v>https://www.onetonline.org/link/summary/25-9031.00</x:v>
      </x:c>
      <x:c r="P315" s="12" t="str">
        <x:v>Curriculum coordination is distinct from direct teaching; available ratings do not justify inclusion.</x:v>
      </x:c>
    </x:row>
    <x:row r="316" ht="37.5" customHeight="1">
      <x:c r="A316" s="15" t="str">
        <x:v>732570</x:v>
      </x:c>
      <x:c r="B316" s="12" t="str">
        <x:v>Teachers: Other precollegiate area</x:v>
      </x:c>
      <x:c r="C316" s="35" t="str">
        <x:v>25-9042.00</x:v>
      </x:c>
      <x:c r="D316" s="12" t="str">
        <x:v>Teaching Assistants, Preschool, Elementary, Middle, and Secondary School, Except Special Education</x:v>
      </x:c>
      <x:c r="E316" s="2" t="str">
        <x:v>Exclude (outside scope)</x:v>
      </x:c>
      <x:c r="F316" s="2" t="str">
        <x:v>Yes</x:v>
      </x:c>
      <x:c r="G316" s="15" t="str">
        <x:v>0/6</x:v>
      </x:c>
      <x:c r="H316" s="18"/>
      <x:c r="I316" s="18"/>
      <x:c r="J316" s="18"/>
      <x:c r="K316" s="18"/>
      <x:c r="L316" s="18"/>
      <x:c r="M316" s="18"/>
      <x:c r="N316" s="12" t="str">
        <x:v>Assist a preschool, elementary, middle, or secondary school teacher with instructional duties. Serve in a position for which a teacher has primary responsibility for the design and implementation of educational programs and services.</x:v>
      </x:c>
      <x:c r="O316" s="12" t="str">
        <x:v>https://www.onetonline.org/link/summary/25-9042.00</x:v>
      </x:c>
      <x:c r="P316" s="12" t="str">
        <x:v>Teaching assistants support teachers; NSCG does not explicitly place them in this group.</x:v>
      </x:c>
    </x:row>
    <x:row r="317" ht="36" customHeight="1">
      <x:c r="A317" s="15" t="str">
        <x:v>732570</x:v>
      </x:c>
      <x:c r="B317" s="12" t="str">
        <x:v>Teachers: Other precollegiate area</x:v>
      </x:c>
      <x:c r="C317" s="35" t="str">
        <x:v>25-9043.00</x:v>
      </x:c>
      <x:c r="D317" s="12" t="str">
        <x:v>Teaching Assistants, Special Education</x:v>
      </x:c>
      <x:c r="E317" s="2" t="str">
        <x:v>Exclude (outside scope)</x:v>
      </x:c>
      <x:c r="F317" s="2" t="str">
        <x:v>Yes</x:v>
      </x:c>
      <x:c r="G317" s="15" t="str">
        <x:v>0/6</x:v>
      </x:c>
      <x:c r="H317" s="18"/>
      <x:c r="I317" s="18"/>
      <x:c r="J317" s="18"/>
      <x:c r="K317" s="18"/>
      <x:c r="L317" s="18"/>
      <x:c r="M317" s="18"/>
      <x:c r="N317" s="12" t="str">
        <x:v>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x:v>
      </x:c>
      <x:c r="O317" s="12" t="str">
        <x:v>https://www.onetonline.org/link/summary/25-9043.00</x:v>
      </x:c>
      <x:c r="P317" s="12" t="str">
        <x:v>Special-education assistants are distinct from special-education teachers.</x:v>
      </x:c>
    </x:row>
    <x:row r="318" ht="36" customHeight="1">
      <x:c r="A318" s="15" t="str">
        <x:v>742720</x:v>
      </x:c>
      <x:c r="B318" s="12" t="str">
        <x:v>Postsecondary teachers - Art, drama, and music</x:v>
      </x:c>
      <x:c r="C318" s="35" t="str">
        <x:v>25-1121.00</x:v>
      </x:c>
      <x:c r="D318" s="12" t="str">
        <x:v>Art, Drama, and Music Teachers, Postsecondary</x:v>
      </x:c>
      <x:c r="E318" s="2" t="str">
        <x:v>Include</x:v>
      </x:c>
      <x:c r="F318" s="2" t="str">
        <x:v>Yes</x:v>
      </x:c>
      <x:c r="G318" s="15" t="str">
        <x:v>6/6</x:v>
      </x:c>
      <x:c r="H318" s="18" t="n">
        <x:v>5.67</x:v>
      </x:c>
      <x:c r="I318" s="18" t="n">
        <x:v>5.83</x:v>
      </x:c>
      <x:c r="J318" s="18" t="n">
        <x:v>4.67</x:v>
      </x:c>
      <x:c r="K318" s="18" t="n">
        <x:v>6</x:v>
      </x:c>
      <x:c r="L318" s="18" t="n">
        <x:v>4.67</x:v>
      </x:c>
      <x:c r="M318" s="18" t="n">
        <x:v>6</x:v>
      </x:c>
      <x:c r="N318" s="12" t="str">
        <x:v>Teach courses in drama, music, and the arts including fine and applied art, such as painting and sculpture, or design and crafts. Includes both teachers primarily engaged in teaching and those who do a combination of teaching and research.</x:v>
      </x:c>
      <x:c r="O318" s="12" t="str">
        <x:v>https://www.onetonline.org/link/summary/25-1121.00</x:v>
      </x:c>
      <x:c r="P318" s="12" t="str">
        <x:v>Use the subject-specific postsecondary teaching profile.</x:v>
      </x:c>
    </x:row>
    <x:row r="319" ht="36" customHeight="1">
      <x:c r="A319" s="15" t="str">
        <x:v>742740</x:v>
      </x:c>
      <x:c r="B319" s="12" t="str">
        <x:v>Postsecondary teachers - Business</x:v>
      </x:c>
      <x:c r="C319" s="35" t="str">
        <x:v>25-1011.00</x:v>
      </x:c>
      <x:c r="D319" s="12" t="str">
        <x:v>Business Teachers, Postsecondary</x:v>
      </x:c>
      <x:c r="E319" s="2" t="str">
        <x:v>Include</x:v>
      </x:c>
      <x:c r="F319" s="2" t="str">
        <x:v>Yes</x:v>
      </x:c>
      <x:c r="G319" s="15" t="str">
        <x:v>6/6</x:v>
      </x:c>
      <x:c r="H319" s="18" t="n">
        <x:v>5.67</x:v>
      </x:c>
      <x:c r="I319" s="18" t="n">
        <x:v>5</x:v>
      </x:c>
      <x:c r="J319" s="18" t="n">
        <x:v>5.33</x:v>
      </x:c>
      <x:c r="K319" s="18" t="n">
        <x:v>5.33</x:v>
      </x:c>
      <x:c r="L319" s="18" t="n">
        <x:v>2.67</x:v>
      </x:c>
      <x:c r="M319" s="18" t="n">
        <x:v>5.67</x:v>
      </x:c>
      <x:c r="N319" s="12" t="str">
        <x:v>Teach courses in business administration and management, such as accounting, finance, human resources, labor and industrial relations, marketing, and operations research. Includes both teachers primarily engaged in teaching and those who do a combination of teaching and research.</x:v>
      </x:c>
      <x:c r="O319" s="12" t="str">
        <x:v>https://www.onetonline.org/link/summary/25-1011.00</x:v>
      </x:c>
      <x:c r="P319" s="12" t="str">
        <x:v>Use the subject-specific postsecondary teaching profile.</x:v>
      </x:c>
    </x:row>
    <x:row r="320" ht="36" customHeight="1">
      <x:c r="A320" s="15" t="str">
        <x:v>742790</x:v>
      </x:c>
      <x:c r="B320" s="12" t="str">
        <x:v>Postsecondary teachers - Education</x:v>
      </x:c>
      <x:c r="C320" s="35" t="str">
        <x:v>25-1081.00</x:v>
      </x:c>
      <x:c r="D320" s="12" t="str">
        <x:v>Education Teachers, Postsecondary</x:v>
      </x:c>
      <x:c r="E320" s="2" t="str">
        <x:v>Include</x:v>
      </x:c>
      <x:c r="F320" s="2" t="str">
        <x:v>Yes</x:v>
      </x:c>
      <x:c r="G320" s="15" t="str">
        <x:v>6/6</x:v>
      </x:c>
      <x:c r="H320" s="18" t="n">
        <x:v>5.67</x:v>
      </x:c>
      <x:c r="I320" s="18" t="n">
        <x:v>5.67</x:v>
      </x:c>
      <x:c r="J320" s="18" t="n">
        <x:v>5</x:v>
      </x:c>
      <x:c r="K320" s="18" t="n">
        <x:v>6</x:v>
      </x:c>
      <x:c r="L320" s="18" t="n">
        <x:v>3.33</x:v>
      </x:c>
      <x:c r="M320" s="18" t="n">
        <x:v>6</x:v>
      </x:c>
      <x:c r="N320" s="12" t="str">
        <x:v>Teach courses pertaining to education, such as counseling, curriculum, guidance, instruction, teacher education, and teaching English as a second language. Includes both teachers primarily engaged in teaching and those who do a combination of teaching and research.</x:v>
      </x:c>
      <x:c r="O320" s="12" t="str">
        <x:v>https://www.onetonline.org/link/summary/25-1081.00</x:v>
      </x:c>
      <x:c r="P320" s="12" t="str">
        <x:v>Use the subject-specific postsecondary teaching profile.</x:v>
      </x:c>
    </x:row>
    <x:row r="321" ht="36" customHeight="1">
      <x:c r="A321" s="15" t="str">
        <x:v>742810</x:v>
      </x:c>
      <x:c r="B321" s="12" t="str">
        <x:v>Postsecondary teachers - English language and literature</x:v>
      </x:c>
      <x:c r="C321" s="35" t="str">
        <x:v>25-1123.00</x:v>
      </x:c>
      <x:c r="D321" s="12" t="str">
        <x:v>English Language and Literature Teachers, Postsecondary</x:v>
      </x:c>
      <x:c r="E321" s="2" t="str">
        <x:v>Include</x:v>
      </x:c>
      <x:c r="F321" s="2" t="str">
        <x:v>Yes</x:v>
      </x:c>
      <x:c r="G321" s="15" t="str">
        <x:v>6/6</x:v>
      </x:c>
      <x:c r="H321" s="18" t="n">
        <x:v>6</x:v>
      </x:c>
      <x:c r="I321" s="18" t="n">
        <x:v>6</x:v>
      </x:c>
      <x:c r="J321" s="18" t="n">
        <x:v>5</x:v>
      </x:c>
      <x:c r="K321" s="18" t="n">
        <x:v>6.33</x:v>
      </x:c>
      <x:c r="L321" s="18" t="n">
        <x:v>3.33</x:v>
      </x:c>
      <x:c r="M321" s="18" t="n">
        <x:v>5.67</x:v>
      </x:c>
      <x:c r="N321" s="12" t="str">
        <x:v>Teach courses in English language and literature, including linguistics and comparative literature. Includes both teachers primarily engaged in teaching and those who do a combination of teaching and research.</x:v>
      </x:c>
      <x:c r="O321" s="12" t="str">
        <x:v>https://www.onetonline.org/link/summary/25-1123.00</x:v>
      </x:c>
      <x:c r="P321" s="12" t="str">
        <x:v>Use the subject-specific postsecondary teaching profile.</x:v>
      </x:c>
    </x:row>
    <x:row r="322" ht="36" customHeight="1">
      <x:c r="A322" s="15" t="str">
        <x:v>742820</x:v>
      </x:c>
      <x:c r="B322" s="12" t="str">
        <x:v>Postsecondary teachers - Foreign language and literature</x:v>
      </x:c>
      <x:c r="C322" s="35" t="str">
        <x:v>25-1124.00</x:v>
      </x:c>
      <x:c r="D322" s="12" t="str">
        <x:v>Foreign Language and Literature Teachers, Postsecondary</x:v>
      </x:c>
      <x:c r="E322" s="2" t="str">
        <x:v>Include</x:v>
      </x:c>
      <x:c r="F322" s="2" t="str">
        <x:v>Yes</x:v>
      </x:c>
      <x:c r="G322" s="15" t="str">
        <x:v>6/6</x:v>
      </x:c>
      <x:c r="H322" s="18" t="n">
        <x:v>5</x:v>
      </x:c>
      <x:c r="I322" s="18" t="n">
        <x:v>4.83</x:v>
      </x:c>
      <x:c r="J322" s="18" t="n">
        <x:v>4.67</x:v>
      </x:c>
      <x:c r="K322" s="18" t="n">
        <x:v>6</x:v>
      </x:c>
      <x:c r="L322" s="18" t="n">
        <x:v>2.67</x:v>
      </x:c>
      <x:c r="M322" s="18" t="n">
        <x:v>6</x:v>
      </x:c>
      <x:c r="N322" s="12" t="str">
        <x:v>Teach languages and literature courses in languages other than English. Includes teachers of American Sign Language (ASL). Includes both teachers primarily engaged in teaching and those who do a combination of teaching and research.</x:v>
      </x:c>
      <x:c r="O322" s="12" t="str">
        <x:v>https://www.onetonline.org/link/summary/25-1124.00</x:v>
      </x:c>
      <x:c r="P322" s="12" t="str">
        <x:v>Use the subject-specific postsecondary teaching profile.</x:v>
      </x:c>
    </x:row>
    <x:row r="323" ht="36" customHeight="1">
      <x:c r="A323" s="15" t="str">
        <x:v>742830</x:v>
      </x:c>
      <x:c r="B323" s="12" t="str">
        <x:v>Postsecondary teachers - History</x:v>
      </x:c>
      <x:c r="C323" s="35" t="str">
        <x:v>25-1125.00</x:v>
      </x:c>
      <x:c r="D323" s="12" t="str">
        <x:v>History Teachers, Postsecondary</x:v>
      </x:c>
      <x:c r="E323" s="2" t="str">
        <x:v>Include</x:v>
      </x:c>
      <x:c r="F323" s="2" t="str">
        <x:v>Yes</x:v>
      </x:c>
      <x:c r="G323" s="15" t="str">
        <x:v>6/6</x:v>
      </x:c>
      <x:c r="H323" s="18" t="n">
        <x:v>5.67</x:v>
      </x:c>
      <x:c r="I323" s="18" t="n">
        <x:v>5.5</x:v>
      </x:c>
      <x:c r="J323" s="18" t="n">
        <x:v>5.33</x:v>
      </x:c>
      <x:c r="K323" s="18" t="n">
        <x:v>4.67</x:v>
      </x:c>
      <x:c r="L323" s="18" t="n">
        <x:v>3.33</x:v>
      </x:c>
      <x:c r="M323" s="18" t="n">
        <x:v>5.67</x:v>
      </x:c>
      <x:c r="N323" s="12" t="str">
        <x:v>Teach courses in human history and historiography. Includes both teachers primarily engaged in teaching and those who do a combination of teaching and research.</x:v>
      </x:c>
      <x:c r="O323" s="12" t="str">
        <x:v>https://www.onetonline.org/link/summary/25-1125.00</x:v>
      </x:c>
      <x:c r="P323" s="12" t="str">
        <x:v>Use the subject-specific postsecondary teaching profile.</x:v>
      </x:c>
    </x:row>
    <x:row r="324" ht="36" customHeight="1">
      <x:c r="A324" s="15" t="str">
        <x:v>742880</x:v>
      </x:c>
      <x:c r="B324" s="12" t="str">
        <x:v>Postsecondary teachers - Recreation and fitness studies</x:v>
      </x:c>
      <x:c r="C324" s="35" t="str">
        <x:v>25-1193.00</x:v>
      </x:c>
      <x:c r="D324" s="12" t="str">
        <x:v>Recreation and Fitness Studies Teachers, Postsecondary</x:v>
      </x:c>
      <x:c r="E324" s="2" t="str">
        <x:v>Include</x:v>
      </x:c>
      <x:c r="F324" s="2" t="str">
        <x:v>Yes</x:v>
      </x:c>
      <x:c r="G324" s="15" t="str">
        <x:v>6/6</x:v>
      </x:c>
      <x:c r="H324" s="18" t="n">
        <x:v>5.67</x:v>
      </x:c>
      <x:c r="I324" s="18" t="n">
        <x:v>4.83</x:v>
      </x:c>
      <x:c r="J324" s="18" t="n">
        <x:v>5</x:v>
      </x:c>
      <x:c r="K324" s="18" t="n">
        <x:v>6</x:v>
      </x:c>
      <x:c r="L324" s="18" t="n">
        <x:v>2.67</x:v>
      </x:c>
      <x:c r="M324" s="18" t="n">
        <x:v>5.67</x:v>
      </x:c>
      <x:c r="N324" s="12" t="str">
        <x:v>Teach courses pertaining to recreation, leisure, and fitness studies, including exercise physiology and facilities management. Includes both teachers primarily engaged in teaching and those who do a combination of teaching and research.</x:v>
      </x:c>
      <x:c r="O324" s="12" t="str">
        <x:v>https://www.onetonline.org/link/summary/25-1193.00</x:v>
      </x:c>
      <x:c r="P324" s="12" t="str">
        <x:v>Use the subject-specific postsecondary teaching profile.</x:v>
      </x:c>
    </x:row>
    <x:row r="325" ht="37.5" customHeight="1">
      <x:c r="A325" s="15" t="str">
        <x:v>742990</x:v>
      </x:c>
      <x:c r="B325" s="12" t="str">
        <x:v>Postsecondary teachers - Other postsecondary fields</x:v>
      </x:c>
      <x:c r="C325" s="35" t="str">
        <x:v>25-1031.00</x:v>
      </x:c>
      <x:c r="D325" s="12" t="str">
        <x:v>Architecture Teachers, Postsecondary</x:v>
      </x:c>
      <x:c r="E325" s="2" t="str">
        <x:v>Include</x:v>
      </x:c>
      <x:c r="F325" s="2" t="str">
        <x:v>Yes</x:v>
      </x:c>
      <x:c r="G325" s="15" t="str">
        <x:v>6/6</x:v>
      </x:c>
      <x:c r="H325" s="18" t="n">
        <x:v>6</x:v>
      </x:c>
      <x:c r="I325" s="18" t="n">
        <x:v>5.33</x:v>
      </x:c>
      <x:c r="J325" s="18" t="n">
        <x:v>5.33</x:v>
      </x:c>
      <x:c r="K325" s="18" t="n">
        <x:v>5.67</x:v>
      </x:c>
      <x:c r="L325" s="18" t="n">
        <x:v>2.67</x:v>
      </x:c>
      <x:c r="M325" s="18" t="n">
        <x:v>5.67</x:v>
      </x:c>
      <x:c r="N325" s="12" t="str">
        <x:v>Teach courses in architecture and architectural design, such as architectural environmental design, interior architecture/design, and landscape architecture. Includes both teachers primarily engaged in teaching and those who do a combination of teaching and research.</x:v>
      </x:c>
      <x:c r="O325" s="12" t="str">
        <x:v>https://www.onetonline.org/link/summary/25-1031.00</x:v>
      </x:c>
      <x:c r="P325" s="12" t="str">
        <x:v>SOC25-1000 minus separately listed teaching fields; exclude postsecondary teaching assistants.</x:v>
      </x:c>
    </x:row>
    <x:row r="326" ht="37.5" customHeight="1">
      <x:c r="A326" s="15" t="str">
        <x:v>742990</x:v>
      </x:c>
      <x:c r="B326" s="12" t="str">
        <x:v>Postsecondary teachers - Other postsecondary fields</x:v>
      </x:c>
      <x:c r="C326" s="35" t="str">
        <x:v>25-1082.00</x:v>
      </x:c>
      <x:c r="D326" s="12" t="str">
        <x:v>Library Science Teachers, Postsecondary</x:v>
      </x:c>
      <x:c r="E326" s="2" t="str">
        <x:v>Include</x:v>
      </x:c>
      <x:c r="F326" s="2" t="str">
        <x:v>Yes</x:v>
      </x:c>
      <x:c r="G326" s="15" t="str">
        <x:v>6/6</x:v>
      </x:c>
      <x:c r="H326" s="18" t="n">
        <x:v>6</x:v>
      </x:c>
      <x:c r="I326" s="18" t="n">
        <x:v>5.17</x:v>
      </x:c>
      <x:c r="J326" s="18" t="n">
        <x:v>5</x:v>
      </x:c>
      <x:c r="K326" s="18" t="n">
        <x:v>4.67</x:v>
      </x:c>
      <x:c r="L326" s="18" t="n">
        <x:v>2.67</x:v>
      </x:c>
      <x:c r="M326" s="18" t="n">
        <x:v>5.67</x:v>
      </x:c>
      <x:c r="N326" s="12" t="str">
        <x:v>Teach courses in library science. Includes both teachers primarily engaged in teaching and those who do a combination of teaching and research.</x:v>
      </x:c>
      <x:c r="O326" s="12" t="str">
        <x:v>https://www.onetonline.org/link/summary/25-1082.00</x:v>
      </x:c>
      <x:c r="P326" s="12" t="str">
        <x:v>SOC25-1000 minus separately listed teaching fields; exclude postsecondary teaching assistants.</x:v>
      </x:c>
    </x:row>
    <x:row r="327" ht="37.5" customHeight="1">
      <x:c r="A327" s="15" t="str">
        <x:v>742990</x:v>
      </x:c>
      <x:c r="B327" s="12" t="str">
        <x:v>Postsecondary teachers - Other postsecondary fields</x:v>
      </x:c>
      <x:c r="C327" s="35" t="str">
        <x:v>25-1111.00</x:v>
      </x:c>
      <x:c r="D327" s="12" t="str">
        <x:v>Criminal Justice and Law Enforcement Teachers, Postsecondary</x:v>
      </x:c>
      <x:c r="E327" s="2" t="str">
        <x:v>Include</x:v>
      </x:c>
      <x:c r="F327" s="2" t="str">
        <x:v>Yes</x:v>
      </x:c>
      <x:c r="G327" s="15" t="str">
        <x:v>6/6</x:v>
      </x:c>
      <x:c r="H327" s="18" t="n">
        <x:v>5.67</x:v>
      </x:c>
      <x:c r="I327" s="18" t="n">
        <x:v>5.67</x:v>
      </x:c>
      <x:c r="J327" s="18" t="n">
        <x:v>5</x:v>
      </x:c>
      <x:c r="K327" s="18" t="n">
        <x:v>4.33</x:v>
      </x:c>
      <x:c r="L327" s="18" t="n">
        <x:v>3.33</x:v>
      </x:c>
      <x:c r="M327" s="18" t="n">
        <x:v>6</x:v>
      </x:c>
      <x:c r="N327" s="12" t="str">
        <x:v>Teach courses in criminal justice, corrections, and law enforcement administration. Includes both teachers primarily engaged in teaching and those who do a combination of teaching and research.</x:v>
      </x:c>
      <x:c r="O327" s="12" t="str">
        <x:v>https://www.onetonline.org/link/summary/25-1111.00</x:v>
      </x:c>
      <x:c r="P327" s="12" t="str">
        <x:v>SOC25-1000 minus separately listed teaching fields; exclude postsecondary teaching assistants.</x:v>
      </x:c>
    </x:row>
    <x:row r="328" ht="37.5" customHeight="1">
      <x:c r="A328" s="15" t="str">
        <x:v>742990</x:v>
      </x:c>
      <x:c r="B328" s="12" t="str">
        <x:v>Postsecondary teachers - Other postsecondary fields</x:v>
      </x:c>
      <x:c r="C328" s="35" t="str">
        <x:v>25-1112.00</x:v>
      </x:c>
      <x:c r="D328" s="12" t="str">
        <x:v>Law Teachers, Postsecondary</x:v>
      </x:c>
      <x:c r="E328" s="2" t="str">
        <x:v>Include</x:v>
      </x:c>
      <x:c r="F328" s="2" t="str">
        <x:v>Yes</x:v>
      </x:c>
      <x:c r="G328" s="15" t="str">
        <x:v>6/6</x:v>
      </x:c>
      <x:c r="H328" s="18" t="n">
        <x:v>6</x:v>
      </x:c>
      <x:c r="I328" s="18" t="n">
        <x:v>6</x:v>
      </x:c>
      <x:c r="J328" s="18" t="n">
        <x:v>5.67</x:v>
      </x:c>
      <x:c r="K328" s="18" t="n">
        <x:v>5</x:v>
      </x:c>
      <x:c r="L328" s="18" t="n">
        <x:v>3.33</x:v>
      </x:c>
      <x:c r="M328" s="18" t="n">
        <x:v>6</x:v>
      </x:c>
      <x:c r="N328" s="12" t="str">
        <x:v>Teach courses in law. Includes both teachers primarily engaged in teaching and those who do a combination of teaching and research.</x:v>
      </x:c>
      <x:c r="O328" s="12" t="str">
        <x:v>https://www.onetonline.org/link/summary/25-1112.00</x:v>
      </x:c>
      <x:c r="P328" s="12" t="str">
        <x:v>SOC25-1000 minus separately listed teaching fields; exclude postsecondary teaching assistants.</x:v>
      </x:c>
    </x:row>
    <x:row r="329" ht="37.5" customHeight="1">
      <x:c r="A329" s="15" t="str">
        <x:v>742990</x:v>
      </x:c>
      <x:c r="B329" s="12" t="str">
        <x:v>Postsecondary teachers - Other postsecondary fields</x:v>
      </x:c>
      <x:c r="C329" s="35" t="str">
        <x:v>25-1113.00</x:v>
      </x:c>
      <x:c r="D329" s="12" t="str">
        <x:v>Social Work Teachers, Postsecondary</x:v>
      </x:c>
      <x:c r="E329" s="2" t="str">
        <x:v>Include</x:v>
      </x:c>
      <x:c r="F329" s="2" t="str">
        <x:v>Yes</x:v>
      </x:c>
      <x:c r="G329" s="15" t="str">
        <x:v>6/6</x:v>
      </x:c>
      <x:c r="H329" s="18" t="n">
        <x:v>5.67</x:v>
      </x:c>
      <x:c r="I329" s="18" t="n">
        <x:v>5.33</x:v>
      </x:c>
      <x:c r="J329" s="18" t="n">
        <x:v>5.33</x:v>
      </x:c>
      <x:c r="K329" s="18" t="n">
        <x:v>6</x:v>
      </x:c>
      <x:c r="L329" s="18" t="n">
        <x:v>3.67</x:v>
      </x:c>
      <x:c r="M329" s="18" t="n">
        <x:v>5.33</x:v>
      </x:c>
      <x:c r="N329" s="12" t="str">
        <x:v>Teach courses in social work. Includes both teachers primarily engaged in teaching and those who do a combination of teaching and research.</x:v>
      </x:c>
      <x:c r="O329" s="12" t="str">
        <x:v>https://www.onetonline.org/link/summary/25-1113.00</x:v>
      </x:c>
      <x:c r="P329" s="12" t="str">
        <x:v>SOC25-1000 minus separately listed teaching fields; exclude postsecondary teaching assistants.</x:v>
      </x:c>
    </x:row>
    <x:row r="330" ht="37.5" customHeight="1">
      <x:c r="A330" s="15" t="str">
        <x:v>742990</x:v>
      </x:c>
      <x:c r="B330" s="12" t="str">
        <x:v>Postsecondary teachers - Other postsecondary fields</x:v>
      </x:c>
      <x:c r="C330" s="35" t="str">
        <x:v>25-1122.00</x:v>
      </x:c>
      <x:c r="D330" s="12" t="str">
        <x:v>Communications Teachers, Postsecondary</x:v>
      </x:c>
      <x:c r="E330" s="2" t="str">
        <x:v>Include</x:v>
      </x:c>
      <x:c r="F330" s="2" t="str">
        <x:v>Yes</x:v>
      </x:c>
      <x:c r="G330" s="15" t="str">
        <x:v>6/6</x:v>
      </x:c>
      <x:c r="H330" s="18" t="n">
        <x:v>5.67</x:v>
      </x:c>
      <x:c r="I330" s="18" t="n">
        <x:v>4.67</x:v>
      </x:c>
      <x:c r="J330" s="18" t="n">
        <x:v>5.33</x:v>
      </x:c>
      <x:c r="K330" s="18" t="n">
        <x:v>6</x:v>
      </x:c>
      <x:c r="L330" s="18" t="n">
        <x:v>2.67</x:v>
      </x:c>
      <x:c r="M330" s="18" t="n">
        <x:v>5.67</x:v>
      </x:c>
      <x:c r="N330" s="12" t="str">
        <x:v>Teach courses in communications, such as organizational communications, public relations, radio/television broadcasting, and journalism. Includes both teachers primarily engaged in teaching and those who do a combination of teaching and research.</x:v>
      </x:c>
      <x:c r="O330" s="12" t="str">
        <x:v>https://www.onetonline.org/link/summary/25-1122.00</x:v>
      </x:c>
      <x:c r="P330" s="12" t="str">
        <x:v>SOC25-1000 minus separately listed teaching fields; exclude postsecondary teaching assistants.</x:v>
      </x:c>
    </x:row>
    <x:row r="331" ht="37.5" customHeight="1">
      <x:c r="A331" s="15" t="str">
        <x:v>742990</x:v>
      </x:c>
      <x:c r="B331" s="12" t="str">
        <x:v>Postsecondary teachers - Other postsecondary fields</x:v>
      </x:c>
      <x:c r="C331" s="35" t="str">
        <x:v>25-1126.00</x:v>
      </x:c>
      <x:c r="D331" s="12" t="str">
        <x:v>Philosophy and Religion Teachers, Postsecondary</x:v>
      </x:c>
      <x:c r="E331" s="2" t="str">
        <x:v>Include</x:v>
      </x:c>
      <x:c r="F331" s="2" t="str">
        <x:v>Yes</x:v>
      </x:c>
      <x:c r="G331" s="15" t="str">
        <x:v>6/6</x:v>
      </x:c>
      <x:c r="H331" s="18" t="n">
        <x:v>5.67</x:v>
      </x:c>
      <x:c r="I331" s="18" t="n">
        <x:v>4.83</x:v>
      </x:c>
      <x:c r="J331" s="18" t="n">
        <x:v>5.33</x:v>
      </x:c>
      <x:c r="K331" s="18" t="n">
        <x:v>5.33</x:v>
      </x:c>
      <x:c r="L331" s="18" t="n">
        <x:v>2.33</x:v>
      </x:c>
      <x:c r="M331" s="18" t="n">
        <x:v>5.67</x:v>
      </x:c>
      <x:c r="N331" s="12" t="str">
        <x:v>Teach courses in philosophy, religion, and theology. Includes both teachers primarily engaged in teaching and those who do a combination of teaching and research.</x:v>
      </x:c>
      <x:c r="O331" s="12" t="str">
        <x:v>https://www.onetonline.org/link/summary/25-1126.00</x:v>
      </x:c>
      <x:c r="P331" s="12" t="str">
        <x:v>SOC25-1000 minus separately listed teaching fields; exclude postsecondary teaching assistants.</x:v>
      </x:c>
    </x:row>
    <x:row r="332" ht="37.5" customHeight="1">
      <x:c r="A332" s="15" t="str">
        <x:v>742990</x:v>
      </x:c>
      <x:c r="B332" s="12" t="str">
        <x:v>Postsecondary teachers - Other postsecondary fields</x:v>
      </x:c>
      <x:c r="C332" s="35" t="str">
        <x:v>25-1192.00</x:v>
      </x:c>
      <x:c r="D332" s="12" t="str">
        <x:v>Family and Consumer Sciences Teachers, Postsecondary</x:v>
      </x:c>
      <x:c r="E332" s="2" t="str">
        <x:v>Include</x:v>
      </x:c>
      <x:c r="F332" s="2" t="str">
        <x:v>Yes</x:v>
      </x:c>
      <x:c r="G332" s="15" t="str">
        <x:v>6/6</x:v>
      </x:c>
      <x:c r="H332" s="18" t="n">
        <x:v>5.67</x:v>
      </x:c>
      <x:c r="I332" s="18" t="n">
        <x:v>5.33</x:v>
      </x:c>
      <x:c r="J332" s="18" t="n">
        <x:v>4.67</x:v>
      </x:c>
      <x:c r="K332" s="18" t="n">
        <x:v>5.67</x:v>
      </x:c>
      <x:c r="L332" s="18" t="n">
        <x:v>3.67</x:v>
      </x:c>
      <x:c r="M332" s="18" t="n">
        <x:v>5.67</x:v>
      </x:c>
      <x:c r="N332" s="12" t="str">
        <x:v>Teach courses in childcare, family relations, finance, nutrition, and related subjects pertaining to home management. Includes both teachers primarily engaged in teaching and those who do a combination of teaching and research.</x:v>
      </x:c>
      <x:c r="O332" s="12" t="str">
        <x:v>https://www.onetonline.org/link/summary/25-1192.00</x:v>
      </x:c>
      <x:c r="P332" s="12" t="str">
        <x:v>SOC25-1000 minus separately listed teaching fields; exclude postsecondary teaching assistants.</x:v>
      </x:c>
    </x:row>
    <x:row r="333" ht="37.5" customHeight="1">
      <x:c r="A333" s="15" t="str">
        <x:v>742990</x:v>
      </x:c>
      <x:c r="B333" s="12" t="str">
        <x:v>Postsecondary teachers - Other postsecondary fields</x:v>
      </x:c>
      <x:c r="C333" s="35" t="str">
        <x:v>25-1194.00</x:v>
      </x:c>
      <x:c r="D333" s="12" t="str">
        <x:v>Career/Technical Education Teachers, Postsecondary</x:v>
      </x:c>
      <x:c r="E333" s="2" t="str">
        <x:v>Include</x:v>
      </x:c>
      <x:c r="F333" s="2" t="str">
        <x:v>Yes</x:v>
      </x:c>
      <x:c r="G333" s="15" t="str">
        <x:v>6/6</x:v>
      </x:c>
      <x:c r="H333" s="18" t="n">
        <x:v>5</x:v>
      </x:c>
      <x:c r="I333" s="18" t="n">
        <x:v>4.33</x:v>
      </x:c>
      <x:c r="J333" s="18" t="n">
        <x:v>4.33</x:v>
      </x:c>
      <x:c r="K333" s="18" t="n">
        <x:v>5</x:v>
      </x:c>
      <x:c r="L333" s="18" t="n">
        <x:v>3</x:v>
      </x:c>
      <x:c r="M333" s="18" t="n">
        <x:v>5</x:v>
      </x:c>
      <x:c r="N333" s="12" t="str">
        <x:v>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x:v>
      </x:c>
      <x:c r="O333" s="12" t="str">
        <x:v>https://www.onetonline.org/link/summary/25-1194.00</x:v>
      </x:c>
      <x:c r="P333" s="12" t="str">
        <x:v>SOC25-1000 minus separately listed teaching fields; exclude postsecondary teaching assistants.</x:v>
      </x:c>
    </x:row>
    <x:row r="334" ht="37.5" customHeight="1">
      <x:c r="A334" s="15" t="str">
        <x:v>742990</x:v>
      </x:c>
      <x:c r="B334" s="12" t="str">
        <x:v>Postsecondary teachers - Other postsecondary fields</x:v>
      </x:c>
      <x:c r="C334" s="35" t="str">
        <x:v>25-1199.00</x:v>
      </x:c>
      <x:c r="D334" s="12" t="str">
        <x:v>Postsecondary Teachers, All Other</x:v>
      </x:c>
      <x:c r="E334" s="2" t="str">
        <x:v>Exclude (no Work Values)</x:v>
      </x:c>
      <x:c r="F334" s="2" t="str">
        <x:v>Yes</x:v>
      </x:c>
      <x:c r="G334" s="15" t="str">
        <x:v>0/6</x:v>
      </x:c>
      <x:c r="H334" s="18"/>
      <x:c r="I334" s="18"/>
      <x:c r="J334" s="18"/>
      <x:c r="K334" s="18"/>
      <x:c r="L334" s="18"/>
      <x:c r="M334" s="18"/>
      <x:c r="N334" s="12" t="str">
        <x:v>All postsecondary teachers not listed separately.</x:v>
      </x:c>
      <x:c r="O334" s="12" t="str">
        <x:v>https://www.onetonline.org/link/summary/25-1199.00</x:v>
      </x:c>
      <x:c r="P334" s="12" t="str">
        <x:v>SOC25-1000 minus separately listed teaching fields; exclude postsecondary teaching assistants.</x:v>
      </x:c>
    </x:row>
    <x:row r="335" ht="37.5" customHeight="1">
      <x:c r="A335" s="15" t="str">
        <x:v>742990</x:v>
      </x:c>
      <x:c r="B335" s="12" t="str">
        <x:v>Postsecondary teachers - Other postsecondary fields</x:v>
      </x:c>
      <x:c r="C335" s="35" t="str">
        <x:v>25-9044.00</x:v>
      </x:c>
      <x:c r="D335" s="12" t="str">
        <x:v>Teaching Assistants, Postsecondary</x:v>
      </x:c>
      <x:c r="E335" s="2" t="str">
        <x:v>Exclude (outside scope)</x:v>
      </x:c>
      <x:c r="F335" s="2" t="str">
        <x:v>Yes</x:v>
      </x:c>
      <x:c r="G335" s="15" t="str">
        <x:v>6/6</x:v>
      </x:c>
      <x:c r="H335" s="18" t="n">
        <x:v>5</x:v>
      </x:c>
      <x:c r="I335" s="18" t="n">
        <x:v>3.67</x:v>
      </x:c>
      <x:c r="J335" s="18" t="n">
        <x:v>3.67</x:v>
      </x:c>
      <x:c r="K335" s="18" t="n">
        <x:v>4</x:v>
      </x:c>
      <x:c r="L335" s="18" t="n">
        <x:v>4.33</x:v>
      </x:c>
      <x:c r="M335" s="18" t="n">
        <x:v>4.33</x:v>
      </x:c>
      <x:c r="N335" s="12" t="str">
        <x:v>Assist faculty or other instructional staff in postsecondary institutions by performing instructional support activities, such as developing teaching materials, leading discussion groups, preparing and giving examinations, and grading examinations or papers.</x:v>
      </x:c>
      <x:c r="O335" s="12" t="str">
        <x:v>https://www.onetonline.org/link/summary/25-9044.00</x:v>
      </x:c>
      <x:c r="P335" s="12" t="str">
        <x:v>Exclude postsecondary teaching assistants from the teaching-field profile.</x:v>
      </x:c>
    </x:row>
    <x:row r="336" ht="37.5" customHeight="1">
      <x:c r="A336" s="15" t="str">
        <x:v>750400</x:v>
      </x:c>
      <x:c r="B336" s="12" t="str">
        <x:v>Clergy and other religious workers</x:v>
      </x:c>
      <x:c r="C336" s="35" t="str">
        <x:v>21-2011.00</x:v>
      </x:c>
      <x:c r="D336" s="12" t="str">
        <x:v>Clergy</x:v>
      </x:c>
      <x:c r="E336" s="2" t="str">
        <x:v>Include</x:v>
      </x:c>
      <x:c r="F336" s="2" t="str">
        <x:v>Yes</x:v>
      </x:c>
      <x:c r="G336" s="15" t="str">
        <x:v>6/6</x:v>
      </x:c>
      <x:c r="H336" s="18" t="n">
        <x:v>6.67</x:v>
      </x:c>
      <x:c r="I336" s="18" t="n">
        <x:v>5</x:v>
      </x:c>
      <x:c r="J336" s="18" t="n">
        <x:v>5.33</x:v>
      </x:c>
      <x:c r="K336" s="18" t="n">
        <x:v>6.33</x:v>
      </x:c>
      <x:c r="L336" s="18" t="n">
        <x:v>3.33</x:v>
      </x:c>
      <x:c r="M336" s="18" t="n">
        <x:v>6.33</x:v>
      </x:c>
      <x:c r="N336" s="12" t="str">
        <x:v>Conduct religious worship and perform other spiritual functions associated with beliefs and practices of religious faith or denomination. Provide spiritual and moral guidance and assistance to members.</x:v>
      </x:c>
      <x:c r="O336" s="12" t="str">
        <x:v>https://www.onetonline.org/link/summary/21-2011.00</x:v>
      </x:c>
      <x:c r="P336" s="12" t="str">
        <x:v>Clergy, religious activity directors and other religious workers.</x:v>
      </x:c>
    </x:row>
    <x:row r="337" ht="37.5" customHeight="1">
      <x:c r="A337" s="15" t="str">
        <x:v>750400</x:v>
      </x:c>
      <x:c r="B337" s="12" t="str">
        <x:v>Clergy and other religious workers</x:v>
      </x:c>
      <x:c r="C337" s="35" t="str">
        <x:v>21-2021.00</x:v>
      </x:c>
      <x:c r="D337" s="12" t="str">
        <x:v>Directors, Religious Activities and Education</x:v>
      </x:c>
      <x:c r="E337" s="2" t="str">
        <x:v>Include</x:v>
      </x:c>
      <x:c r="F337" s="2" t="str">
        <x:v>Yes</x:v>
      </x:c>
      <x:c r="G337" s="15" t="str">
        <x:v>6/6</x:v>
      </x:c>
      <x:c r="H337" s="18" t="n">
        <x:v>5.67</x:v>
      </x:c>
      <x:c r="I337" s="18" t="n">
        <x:v>5</x:v>
      </x:c>
      <x:c r="J337" s="18" t="n">
        <x:v>3.67</x:v>
      </x:c>
      <x:c r="K337" s="18" t="n">
        <x:v>7</x:v>
      </x:c>
      <x:c r="L337" s="18" t="n">
        <x:v>3.67</x:v>
      </x:c>
      <x:c r="M337" s="18" t="n">
        <x:v>5.33</x:v>
      </x:c>
      <x:c r="N337" s="12" t="str">
        <x:v>Coordinate or design programs and conduct outreach to promote the religious education or activities of a denominational group. May provide counseling, guidance, and leadership relative to marital, health, financial, and religious problems.</x:v>
      </x:c>
      <x:c r="O337" s="12" t="str">
        <x:v>https://www.onetonline.org/link/summary/21-2021.00</x:v>
      </x:c>
      <x:c r="P337" s="12" t="str">
        <x:v>Clergy, religious activity directors and other religious workers.</x:v>
      </x:c>
    </x:row>
    <x:row r="338" ht="37.5" customHeight="1">
      <x:c r="A338" s="15" t="str">
        <x:v>750400</x:v>
      </x:c>
      <x:c r="B338" s="12" t="str">
        <x:v>Clergy and other religious workers</x:v>
      </x:c>
      <x:c r="C338" s="35" t="str">
        <x:v>21-2099.00</x:v>
      </x:c>
      <x:c r="D338" s="12" t="str">
        <x:v>Religious Workers, All Other</x:v>
      </x:c>
      <x:c r="E338" s="2" t="str">
        <x:v>Exclude (no Work Values)</x:v>
      </x:c>
      <x:c r="F338" s="2" t="str">
        <x:v>Yes</x:v>
      </x:c>
      <x:c r="G338" s="15" t="str">
        <x:v>0/6</x:v>
      </x:c>
      <x:c r="H338" s="18"/>
      <x:c r="I338" s="18"/>
      <x:c r="J338" s="18"/>
      <x:c r="K338" s="18"/>
      <x:c r="L338" s="18"/>
      <x:c r="M338" s="18"/>
      <x:c r="N338" s="12" t="str">
        <x:v>All religious workers not listed separately.</x:v>
      </x:c>
      <x:c r="O338" s="12" t="str">
        <x:v>https://www.onetonline.org/link/summary/21-2099.00</x:v>
      </x:c>
      <x:c r="P338" s="12" t="str">
        <x:v>Clergy, religious activity directors and other religious workers.</x:v>
      </x:c>
    </x:row>
    <x:row r="339" ht="37.5" customHeight="1">
      <x:c r="A339" s="15" t="str">
        <x:v>750700</x:v>
      </x:c>
      <x:c r="B339" s="12" t="str">
        <x:v>Counselors (e.g., educational, vocational, mental health, and substance abuse)</x:v>
      </x:c>
      <x:c r="C339" s="35" t="str">
        <x:v>21-1011.00</x:v>
      </x:c>
      <x:c r="D339" s="12" t="str">
        <x:v>Substance Abuse and Behavioral Disorder Counselors</x:v>
      </x:c>
      <x:c r="E339" s="2" t="str">
        <x:v>Include</x:v>
      </x:c>
      <x:c r="F339" s="2" t="str">
        <x:v>Yes</x:v>
      </x:c>
      <x:c r="G339" s="15" t="str">
        <x:v>6/6</x:v>
      </x:c>
      <x:c r="H339" s="18" t="n">
        <x:v>5.33</x:v>
      </x:c>
      <x:c r="I339" s="18" t="n">
        <x:v>4.33</x:v>
      </x:c>
      <x:c r="J339" s="18" t="n">
        <x:v>5</x:v>
      </x:c>
      <x:c r="K339" s="18" t="n">
        <x:v>6.67</x:v>
      </x:c>
      <x:c r="L339" s="18" t="n">
        <x:v>4</x:v>
      </x:c>
      <x:c r="M339" s="18" t="n">
        <x:v>5</x:v>
      </x:c>
      <x:c r="N339" s="12" t="str">
        <x:v>Counsel and advise individuals with alcohol, tobacco, drug, or other problems, such as gambling and eating disorders. May counsel individuals, families, or groups or engage in prevention programs.</x:v>
      </x:c>
      <x:c r="O339" s="12" t="str">
        <x:v>https://www.onetonline.org/link/summary/21-1011.00</x:v>
      </x:c>
      <x:c r="P339" s="12" t="str">
        <x:v>Educational/career, mental-health, addiction, rehabilitation and other counselors.</x:v>
      </x:c>
    </x:row>
    <x:row r="340" ht="37.5" customHeight="1">
      <x:c r="A340" s="15" t="str">
        <x:v>750700</x:v>
      </x:c>
      <x:c r="B340" s="12" t="str">
        <x:v>Counselors (e.g., educational, vocational, mental health, and substance abuse)</x:v>
      </x:c>
      <x:c r="C340" s="35" t="str">
        <x:v>21-1012.00</x:v>
      </x:c>
      <x:c r="D340" s="12" t="str">
        <x:v>Educational, Guidance, and Career Counselors and Advisors</x:v>
      </x:c>
      <x:c r="E340" s="2" t="str">
        <x:v>Include</x:v>
      </x:c>
      <x:c r="F340" s="2" t="str">
        <x:v>Yes</x:v>
      </x:c>
      <x:c r="G340" s="15" t="str">
        <x:v>6/6</x:v>
      </x:c>
      <x:c r="H340" s="18" t="n">
        <x:v>5.33</x:v>
      </x:c>
      <x:c r="I340" s="18" t="n">
        <x:v>5</x:v>
      </x:c>
      <x:c r="J340" s="18" t="n">
        <x:v>4.67</x:v>
      </x:c>
      <x:c r="K340" s="18" t="n">
        <x:v>7</x:v>
      </x:c>
      <x:c r="L340" s="18" t="n">
        <x:v>3.67</x:v>
      </x:c>
      <x:c r="M340" s="18" t="n">
        <x:v>4.67</x:v>
      </x:c>
      <x:c r="N340" s="12" t="str">
        <x:v>Advise and assist students and provide educational and vocational guidance services.</x:v>
      </x:c>
      <x:c r="O340" s="12" t="str">
        <x:v>https://www.onetonline.org/link/summary/21-1012.00</x:v>
      </x:c>
      <x:c r="P340" s="12" t="str">
        <x:v>Educational/career, mental-health, addiction, rehabilitation and other counselors.</x:v>
      </x:c>
    </x:row>
    <x:row r="341" ht="37.5" customHeight="1">
      <x:c r="A341" s="15" t="str">
        <x:v>750700</x:v>
      </x:c>
      <x:c r="B341" s="12" t="str">
        <x:v>Counselors (e.g., educational, vocational, mental health, and substance abuse)</x:v>
      </x:c>
      <x:c r="C341" s="35" t="str">
        <x:v>21-1013.00</x:v>
      </x:c>
      <x:c r="D341" s="12" t="str">
        <x:v>Marriage and Family Therapists</x:v>
      </x:c>
      <x:c r="E341" s="2" t="str">
        <x:v>Include</x:v>
      </x:c>
      <x:c r="F341" s="2" t="str">
        <x:v>Yes</x:v>
      </x:c>
      <x:c r="G341" s="15" t="str">
        <x:v>6/6</x:v>
      </x:c>
      <x:c r="H341" s="18" t="n">
        <x:v>5.67</x:v>
      </x:c>
      <x:c r="I341" s="18" t="n">
        <x:v>5.33</x:v>
      </x:c>
      <x:c r="J341" s="18" t="n">
        <x:v>5</x:v>
      </x:c>
      <x:c r="K341" s="18" t="n">
        <x:v>7</x:v>
      </x:c>
      <x:c r="L341" s="18" t="n">
        <x:v>2.67</x:v>
      </x:c>
      <x:c r="M341" s="18" t="n">
        <x:v>6</x:v>
      </x:c>
      <x:c r="N341" s="12" t="str">
        <x:v>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x:v>
      </x:c>
      <x:c r="O341" s="12" t="str">
        <x:v>https://www.onetonline.org/link/summary/21-1013.00</x:v>
      </x:c>
      <x:c r="P341" s="12" t="str">
        <x:v>Educational/career, mental-health, addiction, rehabilitation and other counselors.</x:v>
      </x:c>
    </x:row>
    <x:row r="342" ht="37.5" customHeight="1">
      <x:c r="A342" s="15" t="str">
        <x:v>750700</x:v>
      </x:c>
      <x:c r="B342" s="12" t="str">
        <x:v>Counselors (e.g., educational, vocational, mental health, and substance abuse)</x:v>
      </x:c>
      <x:c r="C342" s="35" t="str">
        <x:v>21-1014.00</x:v>
      </x:c>
      <x:c r="D342" s="12" t="str">
        <x:v>Mental Health Counselors</x:v>
      </x:c>
      <x:c r="E342" s="2" t="str">
        <x:v>Include</x:v>
      </x:c>
      <x:c r="F342" s="2" t="str">
        <x:v>Yes</x:v>
      </x:c>
      <x:c r="G342" s="15" t="str">
        <x:v>6/6</x:v>
      </x:c>
      <x:c r="H342" s="18" t="n">
        <x:v>5.33</x:v>
      </x:c>
      <x:c r="I342" s="18" t="n">
        <x:v>4.17</x:v>
      </x:c>
      <x:c r="J342" s="18" t="n">
        <x:v>4.67</x:v>
      </x:c>
      <x:c r="K342" s="18" t="n">
        <x:v>6.33</x:v>
      </x:c>
      <x:c r="L342" s="18" t="n">
        <x:v>3</x:v>
      </x:c>
      <x:c r="M342" s="18" t="n">
        <x:v>5.33</x:v>
      </x:c>
      <x:c r="N342" s="12" t="str">
        <x:v>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x:v>
      </x:c>
      <x:c r="O342" s="12" t="str">
        <x:v>https://www.onetonline.org/link/summary/21-1014.00</x:v>
      </x:c>
      <x:c r="P342" s="12" t="str">
        <x:v>Educational/career, mental-health, addiction, rehabilitation and other counselors.</x:v>
      </x:c>
    </x:row>
    <x:row r="343" ht="37.5" customHeight="1">
      <x:c r="A343" s="15" t="str">
        <x:v>750700</x:v>
      </x:c>
      <x:c r="B343" s="12" t="str">
        <x:v>Counselors (e.g., educational, vocational, mental health, and substance abuse)</x:v>
      </x:c>
      <x:c r="C343" s="35" t="str">
        <x:v>21-1015.00</x:v>
      </x:c>
      <x:c r="D343" s="12" t="str">
        <x:v>Rehabilitation Counselors</x:v>
      </x:c>
      <x:c r="E343" s="2" t="str">
        <x:v>Include</x:v>
      </x:c>
      <x:c r="F343" s="2" t="str">
        <x:v>Yes</x:v>
      </x:c>
      <x:c r="G343" s="15" t="str">
        <x:v>6/6</x:v>
      </x:c>
      <x:c r="H343" s="18" t="n">
        <x:v>5.67</x:v>
      </x:c>
      <x:c r="I343" s="18" t="n">
        <x:v>4</x:v>
      </x:c>
      <x:c r="J343" s="18" t="n">
        <x:v>4</x:v>
      </x:c>
      <x:c r="K343" s="18" t="n">
        <x:v>6</x:v>
      </x:c>
      <x:c r="L343" s="18" t="n">
        <x:v>4.67</x:v>
      </x:c>
      <x:c r="M343" s="18" t="n">
        <x:v>4</x:v>
      </x:c>
      <x:c r="N343" s="12" t="str">
        <x:v>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x:v>
      </x:c>
      <x:c r="O343" s="12" t="str">
        <x:v>https://www.onetonline.org/link/summary/21-1015.00</x:v>
      </x:c>
      <x:c r="P343" s="12" t="str">
        <x:v>Educational/career, mental-health, addiction, rehabilitation and other counselors.</x:v>
      </x:c>
    </x:row>
    <x:row r="344" ht="37.5" customHeight="1">
      <x:c r="A344" s="15" t="str">
        <x:v>750700</x:v>
      </x:c>
      <x:c r="B344" s="12" t="str">
        <x:v>Counselors (e.g., educational, vocational, mental health, and substance abuse)</x:v>
      </x:c>
      <x:c r="C344" s="35" t="str">
        <x:v>21-1019.00</x:v>
      </x:c>
      <x:c r="D344" s="12" t="str">
        <x:v>Counselors, All Other</x:v>
      </x:c>
      <x:c r="E344" s="2" t="str">
        <x:v>Exclude (no Work Values)</x:v>
      </x:c>
      <x:c r="F344" s="2" t="str">
        <x:v>Yes</x:v>
      </x:c>
      <x:c r="G344" s="15" t="str">
        <x:v>0/6</x:v>
      </x:c>
      <x:c r="H344" s="18"/>
      <x:c r="I344" s="18"/>
      <x:c r="J344" s="18"/>
      <x:c r="K344" s="18"/>
      <x:c r="L344" s="18"/>
      <x:c r="M344" s="18"/>
      <x:c r="N344" s="12" t="str">
        <x:v>All counselors not listed separately.</x:v>
      </x:c>
      <x:c r="O344" s="12" t="str">
        <x:v>https://www.onetonline.org/link/summary/21-1019.00</x:v>
      </x:c>
      <x:c r="P344" s="12" t="str">
        <x:v>Educational/career, mental-health, addiction, rehabilitation and other counselors.</x:v>
      </x:c>
    </x:row>
    <x:row r="345" ht="37.5" customHeight="1">
      <x:c r="A345" s="15" t="str">
        <x:v>752400</x:v>
      </x:c>
      <x:c r="B345" s="12" t="str">
        <x:v>Social workers</x:v>
      </x:c>
      <x:c r="C345" s="35" t="str">
        <x:v>21-1021.00</x:v>
      </x:c>
      <x:c r="D345" s="12" t="str">
        <x:v>Child, Family, and School Social Workers</x:v>
      </x:c>
      <x:c r="E345" s="2" t="str">
        <x:v>Include</x:v>
      </x:c>
      <x:c r="F345" s="2" t="str">
        <x:v>Yes</x:v>
      </x:c>
      <x:c r="G345" s="15" t="str">
        <x:v>6/6</x:v>
      </x:c>
      <x:c r="H345" s="18" t="n">
        <x:v>6</x:v>
      </x:c>
      <x:c r="I345" s="18" t="n">
        <x:v>5</x:v>
      </x:c>
      <x:c r="J345" s="18" t="n">
        <x:v>3.67</x:v>
      </x:c>
      <x:c r="K345" s="18" t="n">
        <x:v>6.67</x:v>
      </x:c>
      <x:c r="L345" s="18" t="n">
        <x:v>4.67</x:v>
      </x:c>
      <x:c r="M345" s="18" t="n">
        <x:v>5.33</x:v>
      </x:c>
      <x:c r="N345" s="12" t="str">
        <x:v>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x:v>
      </x:c>
      <x:c r="O345" s="12" t="str">
        <x:v>https://www.onetonline.org/link/summary/21-1021.00</x:v>
      </x:c>
      <x:c r="P345" s="12" t="str">
        <x:v>Child/family, healthcare, mental-health and other social workers.</x:v>
      </x:c>
    </x:row>
    <x:row r="346" ht="37.5" customHeight="1">
      <x:c r="A346" s="15" t="str">
        <x:v>752400</x:v>
      </x:c>
      <x:c r="B346" s="12" t="str">
        <x:v>Social workers</x:v>
      </x:c>
      <x:c r="C346" s="35" t="str">
        <x:v>21-1022.00</x:v>
      </x:c>
      <x:c r="D346" s="12" t="str">
        <x:v>Healthcare Social Workers</x:v>
      </x:c>
      <x:c r="E346" s="2" t="str">
        <x:v>Include</x:v>
      </x:c>
      <x:c r="F346" s="2" t="str">
        <x:v>Yes</x:v>
      </x:c>
      <x:c r="G346" s="15" t="str">
        <x:v>6/6</x:v>
      </x:c>
      <x:c r="H346" s="18" t="n">
        <x:v>5.67</x:v>
      </x:c>
      <x:c r="I346" s="18" t="n">
        <x:v>5.33</x:v>
      </x:c>
      <x:c r="J346" s="18" t="n">
        <x:v>4.33</x:v>
      </x:c>
      <x:c r="K346" s="18" t="n">
        <x:v>6.67</x:v>
      </x:c>
      <x:c r="L346" s="18" t="n">
        <x:v>4.67</x:v>
      </x:c>
      <x:c r="M346" s="18" t="n">
        <x:v>5.67</x:v>
      </x:c>
      <x:c r="N346" s="12" t="str">
        <x:v>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x:v>
      </x:c>
      <x:c r="O346" s="12" t="str">
        <x:v>https://www.onetonline.org/link/summary/21-1022.00</x:v>
      </x:c>
      <x:c r="P346" s="12" t="str">
        <x:v>Child/family, healthcare, mental-health and other social workers.</x:v>
      </x:c>
    </x:row>
    <x:row r="347" ht="37.5" customHeight="1">
      <x:c r="A347" s="15" t="str">
        <x:v>752400</x:v>
      </x:c>
      <x:c r="B347" s="12" t="str">
        <x:v>Social workers</x:v>
      </x:c>
      <x:c r="C347" s="35" t="str">
        <x:v>21-1023.00</x:v>
      </x:c>
      <x:c r="D347" s="12" t="str">
        <x:v>Mental Health and Substance Abuse Social Workers</x:v>
      </x:c>
      <x:c r="E347" s="2" t="str">
        <x:v>Include</x:v>
      </x:c>
      <x:c r="F347" s="2" t="str">
        <x:v>Yes</x:v>
      </x:c>
      <x:c r="G347" s="15" t="str">
        <x:v>6/6</x:v>
      </x:c>
      <x:c r="H347" s="18" t="n">
        <x:v>6</x:v>
      </x:c>
      <x:c r="I347" s="18" t="n">
        <x:v>4.33</x:v>
      </x:c>
      <x:c r="J347" s="18" t="n">
        <x:v>4</x:v>
      </x:c>
      <x:c r="K347" s="18" t="n">
        <x:v>6</x:v>
      </x:c>
      <x:c r="L347" s="18" t="n">
        <x:v>4.67</x:v>
      </x:c>
      <x:c r="M347" s="18" t="n">
        <x:v>5.33</x:v>
      </x:c>
      <x:c r="N347" s="12" t="str">
        <x:v>Assess and treat individuals with mental, emotional, or substance abuse problems, including abuse of alcohol, tobacco, and/or other drugs. Activities may include individual and group therapy, crisis intervention, case management, client advocacy, prevention, and education.</x:v>
      </x:c>
      <x:c r="O347" s="12" t="str">
        <x:v>https://www.onetonline.org/link/summary/21-1023.00</x:v>
      </x:c>
      <x:c r="P347" s="12" t="str">
        <x:v>Child/family, healthcare, mental-health and other social workers.</x:v>
      </x:c>
    </x:row>
    <x:row r="348" ht="37.5" customHeight="1">
      <x:c r="A348" s="15" t="str">
        <x:v>752400</x:v>
      </x:c>
      <x:c r="B348" s="12" t="str">
        <x:v>Social workers</x:v>
      </x:c>
      <x:c r="C348" s="35" t="str">
        <x:v>21-1029.00</x:v>
      </x:c>
      <x:c r="D348" s="12" t="str">
        <x:v>Social Workers, All Other</x:v>
      </x:c>
      <x:c r="E348" s="2" t="str">
        <x:v>Exclude (no Work Values)</x:v>
      </x:c>
      <x:c r="F348" s="2" t="str">
        <x:v>Yes</x:v>
      </x:c>
      <x:c r="G348" s="15" t="str">
        <x:v>0/6</x:v>
      </x:c>
      <x:c r="H348" s="18"/>
      <x:c r="I348" s="18"/>
      <x:c r="J348" s="18"/>
      <x:c r="K348" s="18"/>
      <x:c r="L348" s="18"/>
      <x:c r="M348" s="18"/>
      <x:c r="N348" s="12" t="str">
        <x:v>All social workers not listed separately.</x:v>
      </x:c>
      <x:c r="O348" s="12" t="str">
        <x:v>https://www.onetonline.org/link/summary/21-1029.00</x:v>
      </x:c>
      <x:c r="P348" s="12" t="str">
        <x:v>Child/family, healthcare, mental-health and other social workers.</x:v>
      </x:c>
    </x:row>
    <x:row r="349" ht="37.5" customHeight="1">
      <x:c r="A349" s="15" t="str">
        <x:v>752410</x:v>
      </x:c>
      <x:c r="B349" s="12" t="str">
        <x:v>Miscellaneous community and social service specialists (e.g., probation officers and correctional treatment specialists)</x:v>
      </x:c>
      <x:c r="C349" s="35" t="str">
        <x:v>21-1091.00</x:v>
      </x:c>
      <x:c r="D349" s="12" t="str">
        <x:v>Health Education Specialists</x:v>
      </x:c>
      <x:c r="E349" s="2" t="str">
        <x:v>Include</x:v>
      </x:c>
      <x:c r="F349" s="2" t="str">
        <x:v>Yes</x:v>
      </x:c>
      <x:c r="G349" s="15" t="str">
        <x:v>6/6</x:v>
      </x:c>
      <x:c r="H349" s="18" t="n">
        <x:v>5</x:v>
      </x:c>
      <x:c r="I349" s="18" t="n">
        <x:v>4.67</x:v>
      </x:c>
      <x:c r="J349" s="18" t="n">
        <x:v>4</x:v>
      </x:c>
      <x:c r="K349" s="18" t="n">
        <x:v>7</x:v>
      </x:c>
      <x:c r="L349" s="18" t="n">
        <x:v>2.33</x:v>
      </x:c>
      <x:c r="M349" s="18" t="n">
        <x:v>5.33</x:v>
      </x:c>
      <x:c r="N349" s="12" t="str">
        <x:v>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x:v>
      </x:c>
      <x:c r="O349" s="12" t="str">
        <x:v>https://www.onetonline.org/link/summary/21-1091.00</x:v>
      </x:c>
      <x:c r="P349" s="12" t="str">
        <x:v>SOC21-109 community and social service specialists.</x:v>
      </x:c>
    </x:row>
    <x:row r="350" ht="37.5" customHeight="1">
      <x:c r="A350" s="15" t="str">
        <x:v>752410</x:v>
      </x:c>
      <x:c r="B350" s="12" t="str">
        <x:v>Miscellaneous community and social service specialists (e.g., probation officers and correctional treatment specialists)</x:v>
      </x:c>
      <x:c r="C350" s="35" t="str">
        <x:v>21-1092.00</x:v>
      </x:c>
      <x:c r="D350" s="12" t="str">
        <x:v>Probation Officers and Correctional Treatment Specialists</x:v>
      </x:c>
      <x:c r="E350" s="2" t="str">
        <x:v>Include</x:v>
      </x:c>
      <x:c r="F350" s="2" t="str">
        <x:v>Yes</x:v>
      </x:c>
      <x:c r="G350" s="15" t="str">
        <x:v>6/6</x:v>
      </x:c>
      <x:c r="H350" s="18" t="n">
        <x:v>4</x:v>
      </x:c>
      <x:c r="I350" s="18" t="n">
        <x:v>4.67</x:v>
      </x:c>
      <x:c r="J350" s="18" t="n">
        <x:v>3.67</x:v>
      </x:c>
      <x:c r="K350" s="18" t="n">
        <x:v>5.33</x:v>
      </x:c>
      <x:c r="L350" s="18" t="n">
        <x:v>6</x:v>
      </x:c>
      <x:c r="M350" s="18" t="n">
        <x:v>3.67</x:v>
      </x:c>
      <x:c r="N350" s="12" t="str">
        <x:v>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x:v>
      </x:c>
      <x:c r="O350" s="12" t="str">
        <x:v>https://www.onetonline.org/link/summary/21-1092.00</x:v>
      </x:c>
      <x:c r="P350" s="12" t="str">
        <x:v>SOC21-109 community and social service specialists.</x:v>
      </x:c>
    </x:row>
    <x:row r="351" ht="37.5" customHeight="1">
      <x:c r="A351" s="15" t="str">
        <x:v>752410</x:v>
      </x:c>
      <x:c r="B351" s="12" t="str">
        <x:v>Miscellaneous community and social service specialists (e.g., probation officers and correctional treatment specialists)</x:v>
      </x:c>
      <x:c r="C351" s="35" t="str">
        <x:v>21-1093.00</x:v>
      </x:c>
      <x:c r="D351" s="12" t="str">
        <x:v>Social and Human Service Assistants</x:v>
      </x:c>
      <x:c r="E351" s="2" t="str">
        <x:v>Include</x:v>
      </x:c>
      <x:c r="F351" s="2" t="str">
        <x:v>Yes</x:v>
      </x:c>
      <x:c r="G351" s="15" t="str">
        <x:v>6/6</x:v>
      </x:c>
      <x:c r="H351" s="18" t="n">
        <x:v>3.67</x:v>
      </x:c>
      <x:c r="I351" s="18" t="n">
        <x:v>3.5</x:v>
      </x:c>
      <x:c r="J351" s="18" t="n">
        <x:v>3.33</x:v>
      </x:c>
      <x:c r="K351" s="18" t="n">
        <x:v>6</x:v>
      </x:c>
      <x:c r="L351" s="18" t="n">
        <x:v>5</x:v>
      </x:c>
      <x:c r="M351" s="18" t="n">
        <x:v>4</x:v>
      </x:c>
      <x:c r="N351" s="12" t="str">
        <x:v>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x:v>
      </x:c>
      <x:c r="O351" s="12" t="str">
        <x:v>https://www.onetonline.org/link/summary/21-1093.00</x:v>
      </x:c>
      <x:c r="P351" s="12" t="str">
        <x:v>SOC21-109 community and social service specialists.</x:v>
      </x:c>
    </x:row>
    <x:row r="352" ht="37.5" customHeight="1">
      <x:c r="A352" s="15" t="str">
        <x:v>752410</x:v>
      </x:c>
      <x:c r="B352" s="12" t="str">
        <x:v>Miscellaneous community and social service specialists (e.g., probation officers and correctional treatment specialists)</x:v>
      </x:c>
      <x:c r="C352" s="35" t="str">
        <x:v>21-1094.00</x:v>
      </x:c>
      <x:c r="D352" s="12" t="str">
        <x:v>Community Health Workers</x:v>
      </x:c>
      <x:c r="E352" s="2" t="str">
        <x:v>Include</x:v>
      </x:c>
      <x:c r="F352" s="2" t="str">
        <x:v>Yes</x:v>
      </x:c>
      <x:c r="G352" s="15" t="str">
        <x:v>6/6</x:v>
      </x:c>
      <x:c r="H352" s="18" t="n">
        <x:v>6</x:v>
      </x:c>
      <x:c r="I352" s="18" t="n">
        <x:v>4.5</x:v>
      </x:c>
      <x:c r="J352" s="18" t="n">
        <x:v>4.33</x:v>
      </x:c>
      <x:c r="K352" s="18" t="n">
        <x:v>7</x:v>
      </x:c>
      <x:c r="L352" s="18" t="n">
        <x:v>4.33</x:v>
      </x:c>
      <x:c r="M352" s="18" t="n">
        <x:v>6</x:v>
      </x:c>
      <x:c r="N352" s="12" t="str">
        <x:v>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x:v>
      </x:c>
      <x:c r="O352" s="12" t="str">
        <x:v>https://www.onetonline.org/link/summary/21-1094.00</x:v>
      </x:c>
      <x:c r="P352" s="12" t="str">
        <x:v>SOC21-109 community and social service specialists.</x:v>
      </x:c>
    </x:row>
    <x:row r="353" ht="37.5" customHeight="1">
      <x:c r="A353" s="15" t="str">
        <x:v>752410</x:v>
      </x:c>
      <x:c r="B353" s="12" t="str">
        <x:v>Miscellaneous community and social service specialists (e.g., probation officers and correctional treatment specialists)</x:v>
      </x:c>
      <x:c r="C353" s="35" t="str">
        <x:v>21-1099.00</x:v>
      </x:c>
      <x:c r="D353" s="12" t="str">
        <x:v>Community and Social Service Specialists, All Other</x:v>
      </x:c>
      <x:c r="E353" s="2" t="str">
        <x:v>Exclude (no Work Values)</x:v>
      </x:c>
      <x:c r="F353" s="2" t="str">
        <x:v>Yes</x:v>
      </x:c>
      <x:c r="G353" s="15" t="str">
        <x:v>0/6</x:v>
      </x:c>
      <x:c r="H353" s="18"/>
      <x:c r="I353" s="18"/>
      <x:c r="J353" s="18"/>
      <x:c r="K353" s="18"/>
      <x:c r="L353" s="18"/>
      <x:c r="M353" s="18"/>
      <x:c r="N353" s="12" t="str">
        <x:v>All community and social service specialists not listed separately.</x:v>
      </x:c>
      <x:c r="O353" s="12" t="str">
        <x:v>https://www.onetonline.org/link/summary/21-1099.00</x:v>
      </x:c>
      <x:c r="P353" s="12" t="str">
        <x:v>SOC21-109 community and social service specialists.</x:v>
      </x:c>
    </x:row>
    <x:row r="354" ht="37.5" customHeight="1">
      <x:c r="A354" s="15" t="str">
        <x:v>762000</x:v>
      </x:c>
      <x:c r="B354" s="12" t="str">
        <x:v>Sales representatives: services (e.g., insurance, securities, real estate, and business services)</x:v>
      </x:c>
      <x:c r="C354" s="35" t="str">
        <x:v>41-3011.00</x:v>
      </x:c>
      <x:c r="D354" s="12" t="str">
        <x:v>Advertising Sales Agents</x:v>
      </x:c>
      <x:c r="E354" s="2" t="str">
        <x:v>Include</x:v>
      </x:c>
      <x:c r="F354" s="2" t="str">
        <x:v>Yes</x:v>
      </x:c>
      <x:c r="G354" s="15" t="str">
        <x:v>6/6</x:v>
      </x:c>
      <x:c r="H354" s="18" t="n">
        <x:v>5</x:v>
      </x:c>
      <x:c r="I354" s="18" t="n">
        <x:v>5.33</x:v>
      </x:c>
      <x:c r="J354" s="18" t="n">
        <x:v>4.67</x:v>
      </x:c>
      <x:c r="K354" s="18" t="n">
        <x:v>6.33</x:v>
      </x:c>
      <x:c r="L354" s="18" t="n">
        <x:v>4.67</x:v>
      </x:c>
      <x:c r="M354" s="18" t="n">
        <x:v>5.33</x:v>
      </x:c>
      <x:c r="N354" s="12" t="str">
        <x:v>Sell or solicit advertising space, time, or media in publications, signage, TV, radio, or Internet establishments or public spaces.</x:v>
      </x:c>
      <x:c r="O354" s="12" t="str">
        <x:v>https://www.onetonline.org/link/summary/41-3011.00</x:v>
      </x:c>
      <x:c r="P354" s="12" t="str">
        <x:v>Insurance, securities, service and real-estate sales; exclude separately listed sales engineers.</x:v>
      </x:c>
    </x:row>
    <x:row r="355" ht="37.5" customHeight="1">
      <x:c r="A355" s="15" t="str">
        <x:v>762000</x:v>
      </x:c>
      <x:c r="B355" s="12" t="str">
        <x:v>Sales representatives: services (e.g., insurance, securities, real estate, and business services)</x:v>
      </x:c>
      <x:c r="C355" s="35" t="str">
        <x:v>41-3021.00</x:v>
      </x:c>
      <x:c r="D355" s="12" t="str">
        <x:v>Insurance Sales Agents</x:v>
      </x:c>
      <x:c r="E355" s="2" t="str">
        <x:v>Include</x:v>
      </x:c>
      <x:c r="F355" s="2" t="str">
        <x:v>Yes</x:v>
      </x:c>
      <x:c r="G355" s="15" t="str">
        <x:v>6/6</x:v>
      </x:c>
      <x:c r="H355" s="18" t="n">
        <x:v>5</x:v>
      </x:c>
      <x:c r="I355" s="18" t="n">
        <x:v>3.83</x:v>
      </x:c>
      <x:c r="J355" s="18" t="n">
        <x:v>3.67</x:v>
      </x:c>
      <x:c r="K355" s="18" t="n">
        <x:v>5.33</x:v>
      </x:c>
      <x:c r="L355" s="18" t="n">
        <x:v>4.67</x:v>
      </x:c>
      <x:c r="M355" s="18" t="n">
        <x:v>5.33</x:v>
      </x:c>
      <x:c r="N355" s="12" t="str">
        <x:v>Sell life, property, casualty, health, automotive, or other types of insurance. May refer clients to independent brokers, work as an independent broker, or be employed by an insurance company.</x:v>
      </x:c>
      <x:c r="O355" s="12" t="str">
        <x:v>https://www.onetonline.org/link/summary/41-3021.00</x:v>
      </x:c>
      <x:c r="P355" s="12" t="str">
        <x:v>Insurance, securities, service and real-estate sales; exclude separately listed sales engineers.</x:v>
      </x:c>
    </x:row>
    <x:row r="356" ht="37.5" customHeight="1">
      <x:c r="A356" s="15" t="str">
        <x:v>762000</x:v>
      </x:c>
      <x:c r="B356" s="12" t="str">
        <x:v>Sales representatives: services (e.g., insurance, securities, real estate, and business services)</x:v>
      </x:c>
      <x:c r="C356" s="35" t="str">
        <x:v>41-3031.00</x:v>
      </x:c>
      <x:c r="D356" s="12" t="str">
        <x:v>Securities, Commodities, and Financial Services Sales Agents</x:v>
      </x:c>
      <x:c r="E356" s="2" t="str">
        <x:v>Include</x:v>
      </x:c>
      <x:c r="F356" s="2" t="str">
        <x:v>Yes</x:v>
      </x:c>
      <x:c r="G356" s="15" t="str">
        <x:v>6/6</x:v>
      </x:c>
      <x:c r="H356" s="18" t="n">
        <x:v>5.17</x:v>
      </x:c>
      <x:c r="I356" s="18" t="n">
        <x:v>5.17</x:v>
      </x:c>
      <x:c r="J356" s="18" t="n">
        <x:v>4.42</x:v>
      </x:c>
      <x:c r="K356" s="18" t="n">
        <x:v>4.75</x:v>
      </x:c>
      <x:c r="L356" s="18" t="n">
        <x:v>4.42</x:v>
      </x:c>
      <x:c r="M356" s="18" t="n">
        <x:v>5.08</x:v>
      </x:c>
      <x:c r="N356" s="12" t="str">
        <x:v>Buy and sell securities or commodities in investment and trading firms, or provide financial services to businesses and individuals. May advise customers about stocks, bonds, mutual funds, commodities, and market conditions.</x:v>
      </x:c>
      <x:c r="O356" s="12" t="str">
        <x:v>https://www.onetonline.org/link/summary/41-3031.00</x:v>
      </x:c>
      <x:c r="P356" s="12" t="str">
        <x:v>Insurance, securities, service and real-estate sales; exclude separately listed sales engineers.</x:v>
      </x:c>
    </x:row>
    <x:row r="357" ht="37.5" customHeight="1">
      <x:c r="A357" s="15" t="str">
        <x:v>762000</x:v>
      </x:c>
      <x:c r="B357" s="12" t="str">
        <x:v>Sales representatives: services (e.g., insurance, securities, real estate, and business services)</x:v>
      </x:c>
      <x:c r="C357" s="35" t="str">
        <x:v>41-3041.00</x:v>
      </x:c>
      <x:c r="D357" s="12" t="str">
        <x:v>Travel Agents</x:v>
      </x:c>
      <x:c r="E357" s="2" t="str">
        <x:v>Include</x:v>
      </x:c>
      <x:c r="F357" s="2" t="str">
        <x:v>Yes</x:v>
      </x:c>
      <x:c r="G357" s="15" t="str">
        <x:v>6/6</x:v>
      </x:c>
      <x:c r="H357" s="18" t="n">
        <x:v>3.33</x:v>
      </x:c>
      <x:c r="I357" s="18" t="n">
        <x:v>3.17</x:v>
      </x:c>
      <x:c r="J357" s="18" t="n">
        <x:v>3.33</x:v>
      </x:c>
      <x:c r="K357" s="18" t="n">
        <x:v>4.67</x:v>
      </x:c>
      <x:c r="L357" s="18" t="n">
        <x:v>3</x:v>
      </x:c>
      <x:c r="M357" s="18" t="n">
        <x:v>3.33</x:v>
      </x:c>
      <x:c r="N357" s="12" t="str">
        <x:v>Plan and sell transportation and accommodations for customers. Determine destination, modes of transportation, travel dates, costs, and accommodations required. May also describe, plan, and arrange itineraries and sell tour packages. May assist in resolving clients' travel problems.</x:v>
      </x:c>
      <x:c r="O357" s="12" t="str">
        <x:v>https://www.onetonline.org/link/summary/41-3041.00</x:v>
      </x:c>
      <x:c r="P357" s="12" t="str">
        <x:v>Insurance, securities, service and real-estate sales; exclude separately listed sales engineers.</x:v>
      </x:c>
    </x:row>
    <x:row r="358" ht="37.5" customHeight="1">
      <x:c r="A358" s="15" t="str">
        <x:v>762000</x:v>
      </x:c>
      <x:c r="B358" s="12" t="str">
        <x:v>Sales representatives: services (e.g., insurance, securities, real estate, and business services)</x:v>
      </x:c>
      <x:c r="C358" s="35" t="str">
        <x:v>41-3091.00</x:v>
      </x:c>
      <x:c r="D358" s="12" t="str">
        <x:v>Sales Representatives of Services, Except Advertising, Insurance, Financial Services, and Travel</x:v>
      </x:c>
      <x:c r="E358" s="2" t="str">
        <x:v>Exclude (no Work Values)</x:v>
      </x:c>
      <x:c r="F358" s="2" t="str">
        <x:v>Yes</x:v>
      </x:c>
      <x:c r="G358" s="15" t="str">
        <x:v>0/6</x:v>
      </x:c>
      <x:c r="H358" s="18"/>
      <x:c r="I358" s="18"/>
      <x:c r="J358" s="18"/>
      <x:c r="K358" s="18"/>
      <x:c r="L358" s="18"/>
      <x:c r="M358" s="18"/>
      <x:c r="N358" s="12" t="str">
        <x:v>Sell services to individuals or businesses. May describe options or resolve client problems.</x:v>
      </x:c>
      <x:c r="O358" s="12" t="str">
        <x:v>https://www.onetonline.org/link/summary/41-3091.00</x:v>
      </x:c>
      <x:c r="P358" s="12" t="str">
        <x:v>Insurance, securities, service and real-estate sales; exclude separately listed sales engineers.</x:v>
      </x:c>
    </x:row>
    <x:row r="359" ht="37.5" customHeight="1">
      <x:c r="A359" s="15" t="str">
        <x:v>762000</x:v>
      </x:c>
      <x:c r="B359" s="12" t="str">
        <x:v>Sales representatives: services (e.g., insurance, securities, real estate, and business services)</x:v>
      </x:c>
      <x:c r="C359" s="35" t="str">
        <x:v>41-9021.00</x:v>
      </x:c>
      <x:c r="D359" s="12" t="str">
        <x:v>Real Estate Brokers</x:v>
      </x:c>
      <x:c r="E359" s="2" t="str">
        <x:v>Include</x:v>
      </x:c>
      <x:c r="F359" s="2" t="str">
        <x:v>Yes</x:v>
      </x:c>
      <x:c r="G359" s="15" t="str">
        <x:v>6/6</x:v>
      </x:c>
      <x:c r="H359" s="18" t="n">
        <x:v>4.67</x:v>
      </x:c>
      <x:c r="I359" s="18" t="n">
        <x:v>4.33</x:v>
      </x:c>
      <x:c r="J359" s="18" t="n">
        <x:v>4.33</x:v>
      </x:c>
      <x:c r="K359" s="18" t="n">
        <x:v>4.67</x:v>
      </x:c>
      <x:c r="L359" s="18" t="n">
        <x:v>3.33</x:v>
      </x:c>
      <x:c r="M359" s="18" t="n">
        <x:v>5</x:v>
      </x:c>
      <x:c r="N359" s="12" t="str">
        <x:v>Operate real estate office, or work for commercial real estate firm, overseeing real estate transactions. Other duties usually include selling real estate or renting properties and arranging loans.</x:v>
      </x:c>
      <x:c r="O359" s="12" t="str">
        <x:v>https://www.onetonline.org/link/summary/41-9021.00</x:v>
      </x:c>
      <x:c r="P359" s="12" t="str">
        <x:v>Insurance, securities, service and real-estate sales; exclude separately listed sales engineers.</x:v>
      </x:c>
    </x:row>
    <x:row r="360" ht="37.5" customHeight="1">
      <x:c r="A360" s="15" t="str">
        <x:v>762000</x:v>
      </x:c>
      <x:c r="B360" s="12" t="str">
        <x:v>Sales representatives: services (e.g., insurance, securities, real estate, and business services)</x:v>
      </x:c>
      <x:c r="C360" s="35" t="str">
        <x:v>41-9022.00</x:v>
      </x:c>
      <x:c r="D360" s="12" t="str">
        <x:v>Real Estate Sales Agents</x:v>
      </x:c>
      <x:c r="E360" s="2" t="str">
        <x:v>Include</x:v>
      </x:c>
      <x:c r="F360" s="2" t="str">
        <x:v>Yes</x:v>
      </x:c>
      <x:c r="G360" s="15" t="str">
        <x:v>6/6</x:v>
      </x:c>
      <x:c r="H360" s="18" t="n">
        <x:v>5.33</x:v>
      </x:c>
      <x:c r="I360" s="18" t="n">
        <x:v>4.67</x:v>
      </x:c>
      <x:c r="J360" s="18" t="n">
        <x:v>4.33</x:v>
      </x:c>
      <x:c r="K360" s="18" t="n">
        <x:v>5.33</x:v>
      </x:c>
      <x:c r="L360" s="18" t="n">
        <x:v>3.67</x:v>
      </x:c>
      <x:c r="M360" s="18" t="n">
        <x:v>5.33</x:v>
      </x:c>
      <x:c r="N360" s="12" t="str">
        <x:v>Rent, buy, or sell property for clients. Perform duties such as study property listings, interview prospective clients, accompany clients to property site, discuss conditions of sale, and draw up real estate contracts. Includes agents who represent buyer.</x:v>
      </x:c>
      <x:c r="O360" s="12" t="str">
        <x:v>https://www.onetonline.org/link/summary/41-9022.00</x:v>
      </x:c>
      <x:c r="P360" s="12" t="str">
        <x:v>Insurance, securities, service and real-estate sales; exclude separately listed sales engineers.</x:v>
      </x:c>
    </x:row>
    <x:row r="361" ht="37.5" customHeight="1">
      <x:c r="A361" s="15" t="str">
        <x:v>762010</x:v>
      </x:c>
      <x:c r="B361" s="12" t="str">
        <x:v>Sales representatives: wholesale and manufacturing (e.g., industrial machinery/equipment/supplies)</x:v>
      </x:c>
      <x:c r="C361" s="35" t="str">
        <x:v>41-4011.00</x:v>
      </x:c>
      <x:c r="D361" s="12" t="str">
        <x:v>Sales Representatives, Wholesale and Manufacturing, Technical and Scientific Products</x:v>
      </x:c>
      <x:c r="E361" s="2" t="str">
        <x:v>Include</x:v>
      </x:c>
      <x:c r="F361" s="2" t="str">
        <x:v>Yes</x:v>
      </x:c>
      <x:c r="G361" s="15" t="str">
        <x:v>6/6</x:v>
      </x:c>
      <x:c r="H361" s="18" t="n">
        <x:v>4.67</x:v>
      </x:c>
      <x:c r="I361" s="18" t="n">
        <x:v>4.67</x:v>
      </x:c>
      <x:c r="J361" s="18" t="n">
        <x:v>4</x:v>
      </x:c>
      <x:c r="K361" s="18" t="n">
        <x:v>4.33</x:v>
      </x:c>
      <x:c r="L361" s="18" t="n">
        <x:v>3.67</x:v>
      </x:c>
      <x:c r="M361" s="18" t="n">
        <x:v>5</x:v>
      </x:c>
      <x:c r="N361" s="12" t="str">
        <x:v>Sell goods for wholesalers or manufacturers where technical or scientific knowledge is required in such areas as biology, engineering, chemistry, and electronics, normally obtained from at least 2 years of postsecondary education.</x:v>
      </x:c>
      <x:c r="O361" s="12" t="str">
        <x:v>https://www.onetonline.org/link/summary/41-4011.00</x:v>
      </x:c>
      <x:c r="P361" s="12" t="str">
        <x:v>Wholesale/manufacturing sales of technical/scientific and other products.</x:v>
      </x:c>
    </x:row>
    <x:row r="362" ht="37.5" customHeight="1">
      <x:c r="A362" s="15" t="str">
        <x:v>762010</x:v>
      </x:c>
      <x:c r="B362" s="12" t="str">
        <x:v>Sales representatives: wholesale and manufacturing (e.g., industrial machinery/equipment/supplies)</x:v>
      </x:c>
      <x:c r="C362" s="35" t="str">
        <x:v>41-4012.00</x:v>
      </x:c>
      <x:c r="D362" s="12" t="str">
        <x:v>Sales Representatives, Wholesale and Manufacturing, Except Technical and Scientific Products</x:v>
      </x:c>
      <x:c r="E362" s="2" t="str">
        <x:v>Include</x:v>
      </x:c>
      <x:c r="F362" s="2" t="str">
        <x:v>Yes</x:v>
      </x:c>
      <x:c r="G362" s="15" t="str">
        <x:v>6/6</x:v>
      </x:c>
      <x:c r="H362" s="18" t="n">
        <x:v>4.67</x:v>
      </x:c>
      <x:c r="I362" s="18" t="n">
        <x:v>4.67</x:v>
      </x:c>
      <x:c r="J362" s="18" t="n">
        <x:v>3.67</x:v>
      </x:c>
      <x:c r="K362" s="18" t="n">
        <x:v>5</x:v>
      </x:c>
      <x:c r="L362" s="18" t="n">
        <x:v>3.67</x:v>
      </x:c>
      <x:c r="M362" s="18" t="n">
        <x:v>4.67</x:v>
      </x:c>
      <x:c r="N362" s="12" t="str">
        <x:v>Sell goods for wholesalers or manufacturers to businesses or groups of individuals. Work requires substantial knowledge of items sold.</x:v>
      </x:c>
      <x:c r="O362" s="12" t="str">
        <x:v>https://www.onetonline.org/link/summary/41-4012.00</x:v>
      </x:c>
      <x:c r="P362" s="12" t="str">
        <x:v>Wholesale/manufacturing sales of technical/scientific and other products.</x:v>
      </x:c>
    </x:row>
    <x:row r="363" ht="37.5" customHeight="1">
      <x:c r="A363" s="15" t="str">
        <x:v>762020</x:v>
      </x:c>
      <x:c r="B363" s="12" t="str">
        <x:v>Retail sales workers (e.g., furnishings, clothing, motor vehicles, cosmetics)</x:v>
      </x:c>
      <x:c r="C363" s="35" t="str">
        <x:v>41-1011.00</x:v>
      </x:c>
      <x:c r="D363" s="12" t="str">
        <x:v>First-Line Supervisors of Retail Sales Workers</x:v>
      </x:c>
      <x:c r="E363" s="2" t="str">
        <x:v>Include</x:v>
      </x:c>
      <x:c r="F363" s="2" t="str">
        <x:v>Yes</x:v>
      </x:c>
      <x:c r="G363" s="15" t="str">
        <x:v>6/6</x:v>
      </x:c>
      <x:c r="H363" s="18" t="n">
        <x:v>3.67</x:v>
      </x:c>
      <x:c r="I363" s="18" t="n">
        <x:v>4</x:v>
      </x:c>
      <x:c r="J363" s="18" t="n">
        <x:v>3.67</x:v>
      </x:c>
      <x:c r="K363" s="18" t="n">
        <x:v>4.33</x:v>
      </x:c>
      <x:c r="L363" s="18" t="n">
        <x:v>4</x:v>
      </x:c>
      <x:c r="M363" s="18" t="n">
        <x:v>4.67</x:v>
      </x:c>
      <x:c r="N363" s="12" t="str">
        <x:v>Directly supervise and coordinate activities of retail sales workers in an establishment or department. Duties may include management functions, such as purchasing, budgeting, accounting, and personnel work, in addition to supervisory duties.</x:v>
      </x:c>
      <x:c r="O363" s="12" t="str">
        <x:v>https://www.onetonline.org/link/summary/41-1011.00</x:v>
      </x:c>
      <x:c r="P363" s="12" t="str">
        <x:v>Retail sales, cashiers, counter/parts sales and retail supervisors.</x:v>
      </x:c>
    </x:row>
    <x:row r="364" ht="37.5" customHeight="1">
      <x:c r="A364" s="15" t="str">
        <x:v>762020</x:v>
      </x:c>
      <x:c r="B364" s="12" t="str">
        <x:v>Retail sales workers (e.g., furnishings, clothing, motor vehicles, cosmetics)</x:v>
      </x:c>
      <x:c r="C364" s="35" t="str">
        <x:v>41-2011.00</x:v>
      </x:c>
      <x:c r="D364" s="12" t="str">
        <x:v>Cashiers</x:v>
      </x:c>
      <x:c r="E364" s="2" t="str">
        <x:v>Include</x:v>
      </x:c>
      <x:c r="F364" s="2" t="str">
        <x:v>Yes</x:v>
      </x:c>
      <x:c r="G364" s="15" t="str">
        <x:v>6/6</x:v>
      </x:c>
      <x:c r="H364" s="18" t="n">
        <x:v>2.67</x:v>
      </x:c>
      <x:c r="I364" s="18" t="n">
        <x:v>2.17</x:v>
      </x:c>
      <x:c r="J364" s="18" t="n">
        <x:v>2</x:v>
      </x:c>
      <x:c r="K364" s="18" t="n">
        <x:v>4.67</x:v>
      </x:c>
      <x:c r="L364" s="18" t="n">
        <x:v>3.67</x:v>
      </x:c>
      <x:c r="M364" s="18" t="n">
        <x:v>2.67</x:v>
      </x:c>
      <x:c r="N364" s="12" t="str">
        <x:v>Receive and disburse money in establishments other than financial institutions. May use electronic scanners, cash registers, or related equipment. May process credit or debit card transactions and validate checks.</x:v>
      </x:c>
      <x:c r="O364" s="12" t="str">
        <x:v>https://www.onetonline.org/link/summary/41-2011.00</x:v>
      </x:c>
      <x:c r="P364" s="12" t="str">
        <x:v>Retail sales, cashiers, counter/parts sales and retail supervisors.</x:v>
      </x:c>
    </x:row>
    <x:row r="365" ht="37.5" customHeight="1">
      <x:c r="A365" s="15" t="str">
        <x:v>762020</x:v>
      </x:c>
      <x:c r="B365" s="12" t="str">
        <x:v>Retail sales workers (e.g., furnishings, clothing, motor vehicles, cosmetics)</x:v>
      </x:c>
      <x:c r="C365" s="35" t="str">
        <x:v>41-2012.00</x:v>
      </x:c>
      <x:c r="D365" s="12" t="str">
        <x:v>Gambling Change Persons and Booth Cashiers</x:v>
      </x:c>
      <x:c r="E365" s="2" t="str">
        <x:v>Include</x:v>
      </x:c>
      <x:c r="F365" s="2" t="str">
        <x:v>Yes</x:v>
      </x:c>
      <x:c r="G365" s="15" t="str">
        <x:v>6/6</x:v>
      </x:c>
      <x:c r="H365" s="18" t="n">
        <x:v>2.33</x:v>
      </x:c>
      <x:c r="I365" s="18" t="n">
        <x:v>2.5</x:v>
      </x:c>
      <x:c r="J365" s="18" t="n">
        <x:v>2</x:v>
      </x:c>
      <x:c r="K365" s="18" t="n">
        <x:v>4.33</x:v>
      </x:c>
      <x:c r="L365" s="18" t="n">
        <x:v>4.33</x:v>
      </x:c>
      <x:c r="M365" s="18" t="n">
        <x:v>3</x:v>
      </x:c>
      <x:c r="N365" s="12" t="str">
        <x:v>Exchange coins, tokens, and chips for patrons' money. May issue payoffs and obtain customer's signature on receipt. May operate a booth in the slot machine area and furnish change persons with money bank at the start of the shift, or count and audit money in drawers.</x:v>
      </x:c>
      <x:c r="O365" s="12" t="str">
        <x:v>https://www.onetonline.org/link/summary/41-2012.00</x:v>
      </x:c>
      <x:c r="P365" s="12" t="str">
        <x:v>Retail sales, cashiers, counter/parts sales and retail supervisors.</x:v>
      </x:c>
    </x:row>
    <x:row r="366" ht="37.5" customHeight="1">
      <x:c r="A366" s="15" t="str">
        <x:v>762020</x:v>
      </x:c>
      <x:c r="B366" s="12" t="str">
        <x:v>Retail sales workers (e.g., furnishings, clothing, motor vehicles, cosmetics)</x:v>
      </x:c>
      <x:c r="C366" s="35" t="str">
        <x:v>41-2021.00</x:v>
      </x:c>
      <x:c r="D366" s="12" t="str">
        <x:v>Counter and Rental Clerks</x:v>
      </x:c>
      <x:c r="E366" s="2" t="str">
        <x:v>Include</x:v>
      </x:c>
      <x:c r="F366" s="2" t="str">
        <x:v>Yes</x:v>
      </x:c>
      <x:c r="G366" s="15" t="str">
        <x:v>6/6</x:v>
      </x:c>
      <x:c r="H366" s="18" t="n">
        <x:v>2.33</x:v>
      </x:c>
      <x:c r="I366" s="18" t="n">
        <x:v>2.17</x:v>
      </x:c>
      <x:c r="J366" s="18" t="n">
        <x:v>2</x:v>
      </x:c>
      <x:c r="K366" s="18" t="n">
        <x:v>4.33</x:v>
      </x:c>
      <x:c r="L366" s="18" t="n">
        <x:v>4</x:v>
      </x:c>
      <x:c r="M366" s="18" t="n">
        <x:v>2.67</x:v>
      </x:c>
      <x:c r="N366" s="12" t="str">
        <x:v>Receive orders, generally in person, for repairs, rentals, and services. May describe available options, compute cost, and accept payment.</x:v>
      </x:c>
      <x:c r="O366" s="12" t="str">
        <x:v>https://www.onetonline.org/link/summary/41-2021.00</x:v>
      </x:c>
      <x:c r="P366" s="12" t="str">
        <x:v>Retail sales, cashiers, counter/parts sales and retail supervisors.</x:v>
      </x:c>
    </x:row>
    <x:row r="367" ht="37.5" customHeight="1">
      <x:c r="A367" s="15" t="str">
        <x:v>762020</x:v>
      </x:c>
      <x:c r="B367" s="12" t="str">
        <x:v>Retail sales workers (e.g., furnishings, clothing, motor vehicles, cosmetics)</x:v>
      </x:c>
      <x:c r="C367" s="35" t="str">
        <x:v>41-2022.00</x:v>
      </x:c>
      <x:c r="D367" s="12" t="str">
        <x:v>Parts Salespersons</x:v>
      </x:c>
      <x:c r="E367" s="2" t="str">
        <x:v>Include</x:v>
      </x:c>
      <x:c r="F367" s="2" t="str">
        <x:v>Yes</x:v>
      </x:c>
      <x:c r="G367" s="15" t="str">
        <x:v>6/6</x:v>
      </x:c>
      <x:c r="H367" s="18" t="n">
        <x:v>2.67</x:v>
      </x:c>
      <x:c r="I367" s="18" t="n">
        <x:v>3</x:v>
      </x:c>
      <x:c r="J367" s="18" t="n">
        <x:v>2.67</x:v>
      </x:c>
      <x:c r="K367" s="18" t="n">
        <x:v>4.67</x:v>
      </x:c>
      <x:c r="L367" s="18" t="n">
        <x:v>3.33</x:v>
      </x:c>
      <x:c r="M367" s="18" t="n">
        <x:v>3.67</x:v>
      </x:c>
      <x:c r="N367" s="12" t="str">
        <x:v>Sell spare and replacement parts and equipment in repair shop or parts store.</x:v>
      </x:c>
      <x:c r="O367" s="12" t="str">
        <x:v>https://www.onetonline.org/link/summary/41-2022.00</x:v>
      </x:c>
      <x:c r="P367" s="12" t="str">
        <x:v>Retail sales, cashiers, counter/parts sales and retail supervisors.</x:v>
      </x:c>
    </x:row>
    <x:row r="368" ht="37.5" customHeight="1">
      <x:c r="A368" s="15" t="str">
        <x:v>762020</x:v>
      </x:c>
      <x:c r="B368" s="12" t="str">
        <x:v>Retail sales workers (e.g., furnishings, clothing, motor vehicles, cosmetics)</x:v>
      </x:c>
      <x:c r="C368" s="35" t="str">
        <x:v>41-2031.00</x:v>
      </x:c>
      <x:c r="D368" s="12" t="str">
        <x:v>Retail Salespersons</x:v>
      </x:c>
      <x:c r="E368" s="2" t="str">
        <x:v>Include</x:v>
      </x:c>
      <x:c r="F368" s="2" t="str">
        <x:v>Yes</x:v>
      </x:c>
      <x:c r="G368" s="15" t="str">
        <x:v>6/6</x:v>
      </x:c>
      <x:c r="H368" s="18" t="n">
        <x:v>3</x:v>
      </x:c>
      <x:c r="I368" s="18" t="n">
        <x:v>2.33</x:v>
      </x:c>
      <x:c r="J368" s="18" t="n">
        <x:v>2.67</x:v>
      </x:c>
      <x:c r="K368" s="18" t="n">
        <x:v>5</x:v>
      </x:c>
      <x:c r="L368" s="18" t="n">
        <x:v>4</x:v>
      </x:c>
      <x:c r="M368" s="18" t="n">
        <x:v>3</x:v>
      </x:c>
      <x:c r="N368" s="12" t="str">
        <x:v>Sell merchandise, such as furniture, motor vehicles, appliances, or apparel to consumers.</x:v>
      </x:c>
      <x:c r="O368" s="12" t="str">
        <x:v>https://www.onetonline.org/link/summary/41-2031.00</x:v>
      </x:c>
      <x:c r="P368" s="12" t="str">
        <x:v>Retail sales, cashiers, counter/parts sales and retail supervisors.</x:v>
      </x:c>
    </x:row>
    <x:row r="369" ht="37.5" customHeight="1">
      <x:c r="A369" s="15" t="str">
        <x:v>762030</x:v>
      </x:c>
      <x:c r="B369" s="12" t="str">
        <x:v>Miscellaneous sales and related workers</x:v>
      </x:c>
      <x:c r="C369" s="35" t="str">
        <x:v>41-1012.00</x:v>
      </x:c>
      <x:c r="D369" s="12" t="str">
        <x:v>First-Line Supervisors of Non-Retail Sales Workers</x:v>
      </x:c>
      <x:c r="E369" s="2" t="str">
        <x:v>Include</x:v>
      </x:c>
      <x:c r="F369" s="2" t="str">
        <x:v>Yes</x:v>
      </x:c>
      <x:c r="G369" s="15" t="str">
        <x:v>6/6</x:v>
      </x:c>
      <x:c r="H369" s="18" t="n">
        <x:v>4.33</x:v>
      </x:c>
      <x:c r="I369" s="18" t="n">
        <x:v>5.17</x:v>
      </x:c>
      <x:c r="J369" s="18" t="n">
        <x:v>4</x:v>
      </x:c>
      <x:c r="K369" s="18" t="n">
        <x:v>5</x:v>
      </x:c>
      <x:c r="L369" s="18" t="n">
        <x:v>5</x:v>
      </x:c>
      <x:c r="M369" s="18" t="n">
        <x:v>5.33</x:v>
      </x:c>
      <x:c r="N369" s="12" t="str">
        <x:v>Directly supervise and coordinate activities of sales workers other than retail sales workers. May perform duties such as budgeting, accounting, and personnel work, in addition to supervisory duties.</x:v>
      </x:c>
      <x:c r="O369" s="12" t="str">
        <x:v>https://www.onetonline.org/link/summary/41-1012.00</x:v>
      </x:c>
      <x:c r="P369" s="12" t="str">
        <x:v>Nonretail sales supervisors, demonstrators, models, telemarketers and other sales workers.</x:v>
      </x:c>
    </x:row>
    <x:row r="370" ht="37.5" customHeight="1">
      <x:c r="A370" s="15" t="str">
        <x:v>762030</x:v>
      </x:c>
      <x:c r="B370" s="12" t="str">
        <x:v>Miscellaneous sales and related workers</x:v>
      </x:c>
      <x:c r="C370" s="35" t="str">
        <x:v>41-9011.00</x:v>
      </x:c>
      <x:c r="D370" s="12" t="str">
        <x:v>Demonstrators and Product Promoters</x:v>
      </x:c>
      <x:c r="E370" s="2" t="str">
        <x:v>Include</x:v>
      </x:c>
      <x:c r="F370" s="2" t="str">
        <x:v>Yes</x:v>
      </x:c>
      <x:c r="G370" s="15" t="str">
        <x:v>6/6</x:v>
      </x:c>
      <x:c r="H370" s="18" t="n">
        <x:v>2.67</x:v>
      </x:c>
      <x:c r="I370" s="18" t="n">
        <x:v>2.83</x:v>
      </x:c>
      <x:c r="J370" s="18" t="n">
        <x:v>3</x:v>
      </x:c>
      <x:c r="K370" s="18" t="n">
        <x:v>5.67</x:v>
      </x:c>
      <x:c r="L370" s="18" t="n">
        <x:v>2.67</x:v>
      </x:c>
      <x:c r="M370" s="18" t="n">
        <x:v>3.33</x:v>
      </x:c>
      <x:c r="N370" s="12" t="str">
        <x:v>Demonstrate merchandise and answer questions for the purpose of creating public interest in buying the product. May sell demonstrated merchandise.</x:v>
      </x:c>
      <x:c r="O370" s="12" t="str">
        <x:v>https://www.onetonline.org/link/summary/41-9011.00</x:v>
      </x:c>
      <x:c r="P370" s="12" t="str">
        <x:v>Nonretail sales supervisors, demonstrators, models, telemarketers and other sales workers.</x:v>
      </x:c>
    </x:row>
    <x:row r="371" ht="37.5" customHeight="1">
      <x:c r="A371" s="15" t="str">
        <x:v>762030</x:v>
      </x:c>
      <x:c r="B371" s="12" t="str">
        <x:v>Miscellaneous sales and related workers</x:v>
      </x:c>
      <x:c r="C371" s="35" t="str">
        <x:v>41-9012.00</x:v>
      </x:c>
      <x:c r="D371" s="12" t="str">
        <x:v>Models</x:v>
      </x:c>
      <x:c r="E371" s="2" t="str">
        <x:v>Include</x:v>
      </x:c>
      <x:c r="F371" s="2" t="str">
        <x:v>Yes</x:v>
      </x:c>
      <x:c r="G371" s="15" t="str">
        <x:v>6/6</x:v>
      </x:c>
      <x:c r="H371" s="18" t="n">
        <x:v>1.67</x:v>
      </x:c>
      <x:c r="I371" s="18" t="n">
        <x:v>2.67</x:v>
      </x:c>
      <x:c r="J371" s="18" t="n">
        <x:v>4</x:v>
      </x:c>
      <x:c r="K371" s="18" t="n">
        <x:v>5</x:v>
      </x:c>
      <x:c r="L371" s="18" t="n">
        <x:v>1.67</x:v>
      </x:c>
      <x:c r="M371" s="18" t="n">
        <x:v>1.67</x:v>
      </x:c>
      <x:c r="N371" s="12" t="str">
        <x:v>Model garments or other apparel and accessories for prospective buyers at fashion shows, private showings, or retail establishments. May pose for photos to be used in magazines or advertisements. May pose as subject for paintings, sculptures, and other types of artistic expression.</x:v>
      </x:c>
      <x:c r="O371" s="12" t="str">
        <x:v>https://www.onetonline.org/link/summary/41-9012.00</x:v>
      </x:c>
      <x:c r="P371" s="12" t="str">
        <x:v>Nonretail sales supervisors, demonstrators, models, telemarketers and other sales workers.</x:v>
      </x:c>
    </x:row>
    <x:row r="372" ht="37.5" customHeight="1">
      <x:c r="A372" s="15" t="str">
        <x:v>762030</x:v>
      </x:c>
      <x:c r="B372" s="12" t="str">
        <x:v>Miscellaneous sales and related workers</x:v>
      </x:c>
      <x:c r="C372" s="35" t="str">
        <x:v>41-9041.00</x:v>
      </x:c>
      <x:c r="D372" s="12" t="str">
        <x:v>Telemarketers</x:v>
      </x:c>
      <x:c r="E372" s="2" t="str">
        <x:v>Include</x:v>
      </x:c>
      <x:c r="F372" s="2" t="str">
        <x:v>Yes</x:v>
      </x:c>
      <x:c r="G372" s="15" t="str">
        <x:v>6/6</x:v>
      </x:c>
      <x:c r="H372" s="18" t="n">
        <x:v>3.33</x:v>
      </x:c>
      <x:c r="I372" s="18" t="n">
        <x:v>1.83</x:v>
      </x:c>
      <x:c r="J372" s="18" t="n">
        <x:v>2.33</x:v>
      </x:c>
      <x:c r="K372" s="18" t="n">
        <x:v>3.67</x:v>
      </x:c>
      <x:c r="L372" s="18" t="n">
        <x:v>3.67</x:v>
      </x:c>
      <x:c r="M372" s="18" t="n">
        <x:v>2.67</x:v>
      </x:c>
      <x:c r="N372" s="12" t="str">
        <x:v>Solicit donations or orders for goods or services over the telephone.</x:v>
      </x:c>
      <x:c r="O372" s="12" t="str">
        <x:v>https://www.onetonline.org/link/summary/41-9041.00</x:v>
      </x:c>
      <x:c r="P372" s="12" t="str">
        <x:v>Nonretail sales supervisors, demonstrators, models, telemarketers and other sales workers.</x:v>
      </x:c>
    </x:row>
    <x:row r="373" ht="37.5" customHeight="1">
      <x:c r="A373" s="15" t="str">
        <x:v>762030</x:v>
      </x:c>
      <x:c r="B373" s="12" t="str">
        <x:v>Miscellaneous sales and related workers</x:v>
      </x:c>
      <x:c r="C373" s="35" t="str">
        <x:v>41-9091.00</x:v>
      </x:c>
      <x:c r="D373" s="12" t="str">
        <x:v>Door-to-Door Sales Workers, News and Street Vendors, and Related Workers</x:v>
      </x:c>
      <x:c r="E373" s="2" t="str">
        <x:v>Include</x:v>
      </x:c>
      <x:c r="F373" s="2" t="str">
        <x:v>Yes</x:v>
      </x:c>
      <x:c r="G373" s="15" t="str">
        <x:v>6/6</x:v>
      </x:c>
      <x:c r="H373" s="18" t="n">
        <x:v>3.67</x:v>
      </x:c>
      <x:c r="I373" s="18" t="n">
        <x:v>2.5</x:v>
      </x:c>
      <x:c r="J373" s="18" t="n">
        <x:v>2</x:v>
      </x:c>
      <x:c r="K373" s="18" t="n">
        <x:v>5</x:v>
      </x:c>
      <x:c r="L373" s="18" t="n">
        <x:v>2</x:v>
      </x:c>
      <x:c r="M373" s="18" t="n">
        <x:v>3.67</x:v>
      </x:c>
      <x:c r="N373" s="12" t="str">
        <x:v>Sell goods or services door-to-door or on the street.</x:v>
      </x:c>
      <x:c r="O373" s="12" t="str">
        <x:v>https://www.onetonline.org/link/summary/41-9091.00</x:v>
      </x:c>
      <x:c r="P373" s="12" t="str">
        <x:v>Nonretail sales supervisors, demonstrators, models, telemarketers and other sales workers.</x:v>
      </x:c>
    </x:row>
    <x:row r="374" ht="37.5" customHeight="1">
      <x:c r="A374" s="15" t="str">
        <x:v>762030</x:v>
      </x:c>
      <x:c r="B374" s="12" t="str">
        <x:v>Miscellaneous sales and related workers</x:v>
      </x:c>
      <x:c r="C374" s="35" t="str">
        <x:v>41-9099.00</x:v>
      </x:c>
      <x:c r="D374" s="12" t="str">
        <x:v>Sales and Related Workers, All Other</x:v>
      </x:c>
      <x:c r="E374" s="2" t="str">
        <x:v>Exclude (no Work Values)</x:v>
      </x:c>
      <x:c r="F374" s="2" t="str">
        <x:v>Yes</x:v>
      </x:c>
      <x:c r="G374" s="15" t="str">
        <x:v>0/6</x:v>
      </x:c>
      <x:c r="H374" s="18"/>
      <x:c r="I374" s="18"/>
      <x:c r="J374" s="18"/>
      <x:c r="K374" s="18"/>
      <x:c r="L374" s="18"/>
      <x:c r="M374" s="18"/>
      <x:c r="N374" s="12" t="str">
        <x:v>All sales and related workers not listed separately.</x:v>
      </x:c>
      <x:c r="O374" s="12" t="str">
        <x:v>https://www.onetonline.org/link/summary/41-9099.00</x:v>
      </x:c>
      <x:c r="P374" s="12" t="str">
        <x:v>Nonretail sales supervisors, demonstrators, models, telemarketers and other sales workers.</x:v>
      </x:c>
    </x:row>
    <x:row r="375" ht="37.5" customHeight="1">
      <x:c r="A375" s="15" t="str">
        <x:v>770100</x:v>
      </x:c>
      <x:c r="B375" s="12" t="str">
        <x:v>Writers, editors, public relations specialists, artists, entertainers, broadcasters, and historiansd</x:v>
      </x:c>
      <x:c r="C375" s="35" t="str">
        <x:v>19-3093.00</x:v>
      </x:c>
      <x:c r="D375" s="12" t="str">
        <x:v>Historians</x:v>
      </x:c>
      <x:c r="E375" s="2" t="str">
        <x:v>Include</x:v>
      </x:c>
      <x:c r="F375" s="2" t="str">
        <x:v>Yes</x:v>
      </x:c>
      <x:c r="G375" s="15" t="str">
        <x:v>6/6</x:v>
      </x:c>
      <x:c r="H375" s="18" t="n">
        <x:v>5</x:v>
      </x:c>
      <x:c r="I375" s="18" t="n">
        <x:v>4.5</x:v>
      </x:c>
      <x:c r="J375" s="18" t="n">
        <x:v>5</x:v>
      </x:c>
      <x:c r="K375" s="18" t="n">
        <x:v>5</x:v>
      </x:c>
      <x:c r="L375" s="18" t="n">
        <x:v>3</x:v>
      </x:c>
      <x:c r="M375" s="18" t="n">
        <x:v>5</x:v>
      </x:c>
      <x:c r="N375" s="12" t="str">
        <x:v>Research, analyze, record, and interpret the past as recorded in sources, such as government and institutional records, newspapers and other periodicals, photographs, interviews, films, electronic media, and unpublished manuscripts, such as personal diaries and letters.</x:v>
      </x:c>
      <x:c r="O375" s="12" t="str">
        <x:v>https://www.onetonline.org/link/summary/19-3093.00</x:v>
      </x:c>
      <x:c r="P375" s="12" t="str">
        <x:v>SOC27 arts/design/entertainment/sports/media plus historians; a broad occupational background.</x:v>
      </x:c>
    </x:row>
    <x:row r="376" ht="37.5" customHeight="1">
      <x:c r="A376" s="15" t="str">
        <x:v>770100</x:v>
      </x:c>
      <x:c r="B376" s="12" t="str">
        <x:v>Writers, editors, public relations specialists, artists, entertainers, broadcasters, and historiansd</x:v>
      </x:c>
      <x:c r="C376" s="35" t="str">
        <x:v>27-1011.00</x:v>
      </x:c>
      <x:c r="D376" s="12" t="str">
        <x:v>Art Directors</x:v>
      </x:c>
      <x:c r="E376" s="2" t="str">
        <x:v>Include</x:v>
      </x:c>
      <x:c r="F376" s="2" t="str">
        <x:v>Yes</x:v>
      </x:c>
      <x:c r="G376" s="15" t="str">
        <x:v>6/6</x:v>
      </x:c>
      <x:c r="H376" s="18" t="n">
        <x:v>6</x:v>
      </x:c>
      <x:c r="I376" s="18" t="n">
        <x:v>5.83</x:v>
      </x:c>
      <x:c r="J376" s="18" t="n">
        <x:v>5</x:v>
      </x:c>
      <x:c r="K376" s="18" t="n">
        <x:v>3.67</x:v>
      </x:c>
      <x:c r="L376" s="18" t="n">
        <x:v>3.33</x:v>
      </x:c>
      <x:c r="M376" s="18" t="n">
        <x:v>6.33</x:v>
      </x:c>
      <x:c r="N376" s="12" t="str">
        <x:v>Formulate design concepts and presentation approaches for visual productions and media, such as print, broadcasting, video, and film. Direct workers engaged in artwork or layout design.</x:v>
      </x:c>
      <x:c r="O376" s="12" t="str">
        <x:v>https://www.onetonline.org/link/summary/27-1011.00</x:v>
      </x:c>
      <x:c r="P376" s="12" t="str">
        <x:v>SOC27 arts/design/entertainment/sports/media plus historians; a broad occupational background.</x:v>
      </x:c>
    </x:row>
    <x:row r="377" ht="37.5" customHeight="1">
      <x:c r="A377" s="15" t="str">
        <x:v>770100</x:v>
      </x:c>
      <x:c r="B377" s="12" t="str">
        <x:v>Writers, editors, public relations specialists, artists, entertainers, broadcasters, and historiansd</x:v>
      </x:c>
      <x:c r="C377" s="35" t="str">
        <x:v>27-1012.00</x:v>
      </x:c>
      <x:c r="D377" s="12" t="str">
        <x:v>Craft Artists</x:v>
      </x:c>
      <x:c r="E377" s="2" t="str">
        <x:v>Include</x:v>
      </x:c>
      <x:c r="F377" s="2" t="str">
        <x:v>Yes</x:v>
      </x:c>
      <x:c r="G377" s="15" t="str">
        <x:v>6/6</x:v>
      </x:c>
      <x:c r="H377" s="18" t="n">
        <x:v>6</x:v>
      </x:c>
      <x:c r="I377" s="18" t="n">
        <x:v>3.67</x:v>
      </x:c>
      <x:c r="J377" s="18" t="n">
        <x:v>3</x:v>
      </x:c>
      <x:c r="K377" s="18" t="n">
        <x:v>1.67</x:v>
      </x:c>
      <x:c r="L377" s="18" t="n">
        <x:v>2</x:v>
      </x:c>
      <x:c r="M377" s="18" t="n">
        <x:v>5.33</x:v>
      </x:c>
      <x:c r="N377" s="12" t="str">
        <x:v>Create or reproduce handmade objects for sale and exhibition using a variety of techniques, such as welding, weaving, pottery, and needlecraft.</x:v>
      </x:c>
      <x:c r="O377" s="12" t="str">
        <x:v>https://www.onetonline.org/link/summary/27-1012.00</x:v>
      </x:c>
      <x:c r="P377" s="12" t="str">
        <x:v>SOC27 arts/design/entertainment/sports/media plus historians; a broad occupational background.</x:v>
      </x:c>
    </x:row>
    <x:row r="378" ht="37.5" customHeight="1">
      <x:c r="A378" s="15" t="str">
        <x:v>770100</x:v>
      </x:c>
      <x:c r="B378" s="12" t="str">
        <x:v>Writers, editors, public relations specialists, artists, entertainers, broadcasters, and historiansd</x:v>
      </x:c>
      <x:c r="C378" s="35" t="str">
        <x:v>27-1013.00</x:v>
      </x:c>
      <x:c r="D378" s="12" t="str">
        <x:v>Fine Artists, Including Painters, Sculptors, and Illustrators</x:v>
      </x:c>
      <x:c r="E378" s="2" t="str">
        <x:v>Include</x:v>
      </x:c>
      <x:c r="F378" s="2" t="str">
        <x:v>Yes</x:v>
      </x:c>
      <x:c r="G378" s="15" t="str">
        <x:v>6/6</x:v>
      </x:c>
      <x:c r="H378" s="18" t="n">
        <x:v>5.67</x:v>
      </x:c>
      <x:c r="I378" s="18" t="n">
        <x:v>4.67</x:v>
      </x:c>
      <x:c r="J378" s="18" t="n">
        <x:v>4.67</x:v>
      </x:c>
      <x:c r="K378" s="18" t="n">
        <x:v>4</x:v>
      </x:c>
      <x:c r="L378" s="18" t="n">
        <x:v>2</x:v>
      </x:c>
      <x:c r="M378" s="18" t="n">
        <x:v>5.67</x:v>
      </x:c>
      <x:c r="N378" s="12" t="str">
        <x:v>Create original artwork using any of a wide variety of media and techniques.</x:v>
      </x:c>
      <x:c r="O378" s="12" t="str">
        <x:v>https://www.onetonline.org/link/summary/27-1013.00</x:v>
      </x:c>
      <x:c r="P378" s="12" t="str">
        <x:v>SOC27 arts/design/entertainment/sports/media plus historians; a broad occupational background.</x:v>
      </x:c>
    </x:row>
    <x:row r="379" ht="37.5" customHeight="1">
      <x:c r="A379" s="15" t="str">
        <x:v>770100</x:v>
      </x:c>
      <x:c r="B379" s="12" t="str">
        <x:v>Writers, editors, public relations specialists, artists, entertainers, broadcasters, and historiansd</x:v>
      </x:c>
      <x:c r="C379" s="35" t="str">
        <x:v>27-1014.00</x:v>
      </x:c>
      <x:c r="D379" s="12" t="str">
        <x:v>Special Effects Artists and Animators</x:v>
      </x:c>
      <x:c r="E379" s="2" t="str">
        <x:v>Include</x:v>
      </x:c>
      <x:c r="F379" s="2" t="str">
        <x:v>Yes</x:v>
      </x:c>
      <x:c r="G379" s="15" t="str">
        <x:v>6/6</x:v>
      </x:c>
      <x:c r="H379" s="18" t="n">
        <x:v>5</x:v>
      </x:c>
      <x:c r="I379" s="18" t="n">
        <x:v>4.83</x:v>
      </x:c>
      <x:c r="J379" s="18" t="n">
        <x:v>4.33</x:v>
      </x:c>
      <x:c r="K379" s="18" t="n">
        <x:v>4.33</x:v>
      </x:c>
      <x:c r="L379" s="18" t="n">
        <x:v>3.33</x:v>
      </x:c>
      <x:c r="M379" s="18" t="n">
        <x:v>5.67</x:v>
      </x:c>
      <x:c r="N379" s="12" t="str">
        <x:v>Create special effects or animations using film, video, computers, or other electronic tools and media for use in products, such as computer games, movies, music videos, and commercials.</x:v>
      </x:c>
      <x:c r="O379" s="12" t="str">
        <x:v>https://www.onetonline.org/link/summary/27-1014.00</x:v>
      </x:c>
      <x:c r="P379" s="12" t="str">
        <x:v>SOC27 arts/design/entertainment/sports/media plus historians; a broad occupational background.</x:v>
      </x:c>
    </x:row>
    <x:row r="380" ht="37.5" customHeight="1">
      <x:c r="A380" s="15" t="str">
        <x:v>770100</x:v>
      </x:c>
      <x:c r="B380" s="12" t="str">
        <x:v>Writers, editors, public relations specialists, artists, entertainers, broadcasters, and historiansd</x:v>
      </x:c>
      <x:c r="C380" s="35" t="str">
        <x:v>27-1019.00</x:v>
      </x:c>
      <x:c r="D380" s="12" t="str">
        <x:v>Artists and Related Workers, All Other</x:v>
      </x:c>
      <x:c r="E380" s="2" t="str">
        <x:v>Exclude (no Work Values)</x:v>
      </x:c>
      <x:c r="F380" s="2" t="str">
        <x:v>Yes</x:v>
      </x:c>
      <x:c r="G380" s="15" t="str">
        <x:v>0/6</x:v>
      </x:c>
      <x:c r="H380" s="18"/>
      <x:c r="I380" s="18"/>
      <x:c r="J380" s="18"/>
      <x:c r="K380" s="18"/>
      <x:c r="L380" s="18"/>
      <x:c r="M380" s="18"/>
      <x:c r="N380" s="12" t="str">
        <x:v>All artists and related workers not listed separately.</x:v>
      </x:c>
      <x:c r="O380" s="12" t="str">
        <x:v>https://www.onetonline.org/link/summary/27-1019.00</x:v>
      </x:c>
      <x:c r="P380" s="12" t="str">
        <x:v>SOC27 arts/design/entertainment/sports/media plus historians; a broad occupational background.</x:v>
      </x:c>
    </x:row>
    <x:row r="381" ht="37.5" customHeight="1">
      <x:c r="A381" s="15" t="str">
        <x:v>770100</x:v>
      </x:c>
      <x:c r="B381" s="12" t="str">
        <x:v>Writers, editors, public relations specialists, artists, entertainers, broadcasters, and historiansd</x:v>
      </x:c>
      <x:c r="C381" s="35" t="str">
        <x:v>27-1021.00</x:v>
      </x:c>
      <x:c r="D381" s="12" t="str">
        <x:v>Commercial and Industrial Designers</x:v>
      </x:c>
      <x:c r="E381" s="2" t="str">
        <x:v>Include</x:v>
      </x:c>
      <x:c r="F381" s="2" t="str">
        <x:v>Yes</x:v>
      </x:c>
      <x:c r="G381" s="15" t="str">
        <x:v>6/6</x:v>
      </x:c>
      <x:c r="H381" s="18" t="n">
        <x:v>5</x:v>
      </x:c>
      <x:c r="I381" s="18" t="n">
        <x:v>4.67</x:v>
      </x:c>
      <x:c r="J381" s="18" t="n">
        <x:v>4.67</x:v>
      </x:c>
      <x:c r="K381" s="18" t="n">
        <x:v>5</x:v>
      </x:c>
      <x:c r="L381" s="18" t="n">
        <x:v>4.33</x:v>
      </x:c>
      <x:c r="M381" s="18" t="n">
        <x:v>4.67</x:v>
      </x:c>
      <x:c r="N381" s="12" t="str">
        <x:v>Design and develop manufactured products, such as cars, home appliances, and children's toys. Combine artistic talent with research on product use, marketing, and materials to create the most functional and appealing product design.</x:v>
      </x:c>
      <x:c r="O381" s="12" t="str">
        <x:v>https://www.onetonline.org/link/summary/27-1021.00</x:v>
      </x:c>
      <x:c r="P381" s="12" t="str">
        <x:v>SOC27 arts/design/entertainment/sports/media plus historians; a broad occupational background.</x:v>
      </x:c>
    </x:row>
    <x:row r="382" ht="37.5" customHeight="1">
      <x:c r="A382" s="15" t="str">
        <x:v>770100</x:v>
      </x:c>
      <x:c r="B382" s="12" t="str">
        <x:v>Writers, editors, public relations specialists, artists, entertainers, broadcasters, and historiansd</x:v>
      </x:c>
      <x:c r="C382" s="35" t="str">
        <x:v>27-1022.00</x:v>
      </x:c>
      <x:c r="D382" s="12" t="str">
        <x:v>Fashion Designers</x:v>
      </x:c>
      <x:c r="E382" s="2" t="str">
        <x:v>Include</x:v>
      </x:c>
      <x:c r="F382" s="2" t="str">
        <x:v>Yes</x:v>
      </x:c>
      <x:c r="G382" s="15" t="str">
        <x:v>6/6</x:v>
      </x:c>
      <x:c r="H382" s="18" t="n">
        <x:v>5.67</x:v>
      </x:c>
      <x:c r="I382" s="18" t="n">
        <x:v>5.33</x:v>
      </x:c>
      <x:c r="J382" s="18" t="n">
        <x:v>4.67</x:v>
      </x:c>
      <x:c r="K382" s="18" t="n">
        <x:v>4</x:v>
      </x:c>
      <x:c r="L382" s="18" t="n">
        <x:v>2</x:v>
      </x:c>
      <x:c r="M382" s="18" t="n">
        <x:v>5.33</x:v>
      </x:c>
      <x:c r="N382" s="12" t="str">
        <x:v>Design clothing and accessories. Create original designs or adapt fashion trends.</x:v>
      </x:c>
      <x:c r="O382" s="12" t="str">
        <x:v>https://www.onetonline.org/link/summary/27-1022.00</x:v>
      </x:c>
      <x:c r="P382" s="12" t="str">
        <x:v>SOC27 arts/design/entertainment/sports/media plus historians; a broad occupational background.</x:v>
      </x:c>
    </x:row>
    <x:row r="383" ht="37.5" customHeight="1">
      <x:c r="A383" s="15" t="str">
        <x:v>770100</x:v>
      </x:c>
      <x:c r="B383" s="12" t="str">
        <x:v>Writers, editors, public relations specialists, artists, entertainers, broadcasters, and historiansd</x:v>
      </x:c>
      <x:c r="C383" s="35" t="str">
        <x:v>27-1023.00</x:v>
      </x:c>
      <x:c r="D383" s="12" t="str">
        <x:v>Floral Designers</x:v>
      </x:c>
      <x:c r="E383" s="2" t="str">
        <x:v>Include</x:v>
      </x:c>
      <x:c r="F383" s="2" t="str">
        <x:v>Yes</x:v>
      </x:c>
      <x:c r="G383" s="15" t="str">
        <x:v>6/6</x:v>
      </x:c>
      <x:c r="H383" s="18" t="n">
        <x:v>5</x:v>
      </x:c>
      <x:c r="I383" s="18" t="n">
        <x:v>3</x:v>
      </x:c>
      <x:c r="J383" s="18" t="n">
        <x:v>3</x:v>
      </x:c>
      <x:c r="K383" s="18" t="n">
        <x:v>4.67</x:v>
      </x:c>
      <x:c r="L383" s="18" t="n">
        <x:v>2.67</x:v>
      </x:c>
      <x:c r="M383" s="18" t="n">
        <x:v>4.67</x:v>
      </x:c>
      <x:c r="N383" s="12" t="str">
        <x:v>Design, cut, and arrange live, dried, or artificial flowers and foliage.</x:v>
      </x:c>
      <x:c r="O383" s="12" t="str">
        <x:v>https://www.onetonline.org/link/summary/27-1023.00</x:v>
      </x:c>
      <x:c r="P383" s="12" t="str">
        <x:v>SOC27 arts/design/entertainment/sports/media plus historians; a broad occupational background.</x:v>
      </x:c>
    </x:row>
    <x:row r="384" ht="37.5" customHeight="1">
      <x:c r="A384" s="15" t="str">
        <x:v>770100</x:v>
      </x:c>
      <x:c r="B384" s="12" t="str">
        <x:v>Writers, editors, public relations specialists, artists, entertainers, broadcasters, and historiansd</x:v>
      </x:c>
      <x:c r="C384" s="35" t="str">
        <x:v>27-1024.00</x:v>
      </x:c>
      <x:c r="D384" s="12" t="str">
        <x:v>Graphic Designers</x:v>
      </x:c>
      <x:c r="E384" s="2" t="str">
        <x:v>Include</x:v>
      </x:c>
      <x:c r="F384" s="2" t="str">
        <x:v>Yes</x:v>
      </x:c>
      <x:c r="G384" s="15" t="str">
        <x:v>6/6</x:v>
      </x:c>
      <x:c r="H384" s="18" t="n">
        <x:v>5.67</x:v>
      </x:c>
      <x:c r="I384" s="18" t="n">
        <x:v>4.5</x:v>
      </x:c>
      <x:c r="J384" s="18" t="n">
        <x:v>4.67</x:v>
      </x:c>
      <x:c r="K384" s="18" t="n">
        <x:v>4</x:v>
      </x:c>
      <x:c r="L384" s="18" t="n">
        <x:v>4</x:v>
      </x:c>
      <x:c r="M384" s="18" t="n">
        <x:v>5.33</x:v>
      </x:c>
      <x:c r="N384" s="12" t="str">
        <x:v>Design or create graphics to meet specific commercial or promotional needs, such as packaging, displays, or logos. May use a variety of mediums to achieve artistic or decorative effects.</x:v>
      </x:c>
      <x:c r="O384" s="12" t="str">
        <x:v>https://www.onetonline.org/link/summary/27-1024.00</x:v>
      </x:c>
      <x:c r="P384" s="12" t="str">
        <x:v>SOC27 arts/design/entertainment/sports/media plus historians; a broad occupational background.</x:v>
      </x:c>
    </x:row>
    <x:row r="385" ht="37.5" customHeight="1">
      <x:c r="A385" s="15" t="str">
        <x:v>770100</x:v>
      </x:c>
      <x:c r="B385" s="12" t="str">
        <x:v>Writers, editors, public relations specialists, artists, entertainers, broadcasters, and historiansd</x:v>
      </x:c>
      <x:c r="C385" s="35" t="str">
        <x:v>27-1025.00</x:v>
      </x:c>
      <x:c r="D385" s="12" t="str">
        <x:v>Interior Designers</x:v>
      </x:c>
      <x:c r="E385" s="2" t="str">
        <x:v>Include</x:v>
      </x:c>
      <x:c r="F385" s="2" t="str">
        <x:v>Yes</x:v>
      </x:c>
      <x:c r="G385" s="15" t="str">
        <x:v>6/6</x:v>
      </x:c>
      <x:c r="H385" s="18" t="n">
        <x:v>5.67</x:v>
      </x:c>
      <x:c r="I385" s="18" t="n">
        <x:v>4.5</x:v>
      </x:c>
      <x:c r="J385" s="18" t="n">
        <x:v>4.33</x:v>
      </x:c>
      <x:c r="K385" s="18" t="n">
        <x:v>5</x:v>
      </x:c>
      <x:c r="L385" s="18" t="n">
        <x:v>2.33</x:v>
      </x:c>
      <x:c r="M385" s="18" t="n">
        <x:v>5.67</x:v>
      </x:c>
      <x:c r="N385" s="12" t="str">
        <x:v>Plan, design, and furnish the internal space of rooms or buildings. Design interior environments or create physical layouts that are practical, aesthetic, and conducive to the intended purposes. May specialize in a particular field, style, or phase of interior design.</x:v>
      </x:c>
      <x:c r="O385" s="12" t="str">
        <x:v>https://www.onetonline.org/link/summary/27-1025.00</x:v>
      </x:c>
      <x:c r="P385" s="12" t="str">
        <x:v>SOC27 arts/design/entertainment/sports/media plus historians; a broad occupational background.</x:v>
      </x:c>
    </x:row>
    <x:row r="386" ht="37.5" customHeight="1">
      <x:c r="A386" s="15" t="str">
        <x:v>770100</x:v>
      </x:c>
      <x:c r="B386" s="12" t="str">
        <x:v>Writers, editors, public relations specialists, artists, entertainers, broadcasters, and historiansd</x:v>
      </x:c>
      <x:c r="C386" s="35" t="str">
        <x:v>27-1026.00</x:v>
      </x:c>
      <x:c r="D386" s="12" t="str">
        <x:v>Merchandise Displayers and Window Trimmers</x:v>
      </x:c>
      <x:c r="E386" s="2" t="str">
        <x:v>Include</x:v>
      </x:c>
      <x:c r="F386" s="2" t="str">
        <x:v>Yes</x:v>
      </x:c>
      <x:c r="G386" s="15" t="str">
        <x:v>6/6</x:v>
      </x:c>
      <x:c r="H386" s="18" t="n">
        <x:v>4</x:v>
      </x:c>
      <x:c r="I386" s="18" t="n">
        <x:v>3.67</x:v>
      </x:c>
      <x:c r="J386" s="18" t="n">
        <x:v>2.67</x:v>
      </x:c>
      <x:c r="K386" s="18" t="n">
        <x:v>5</x:v>
      </x:c>
      <x:c r="L386" s="18" t="n">
        <x:v>3.67</x:v>
      </x:c>
      <x:c r="M386" s="18" t="n">
        <x:v>4.67</x:v>
      </x:c>
      <x:c r="N386" s="12" t="str">
        <x:v>Plan and erect commercial displays, such as those in windows and interiors of retail stores and at trade exhibitions.</x:v>
      </x:c>
      <x:c r="O386" s="12" t="str">
        <x:v>https://www.onetonline.org/link/summary/27-1026.00</x:v>
      </x:c>
      <x:c r="P386" s="12" t="str">
        <x:v>SOC27 arts/design/entertainment/sports/media plus historians; a broad occupational background.</x:v>
      </x:c>
    </x:row>
    <x:row r="387" ht="37.5" customHeight="1">
      <x:c r="A387" s="15" t="str">
        <x:v>770100</x:v>
      </x:c>
      <x:c r="B387" s="12" t="str">
        <x:v>Writers, editors, public relations specialists, artists, entertainers, broadcasters, and historiansd</x:v>
      </x:c>
      <x:c r="C387" s="35" t="str">
        <x:v>27-1027.00</x:v>
      </x:c>
      <x:c r="D387" s="12" t="str">
        <x:v>Set and Exhibit Designers</x:v>
      </x:c>
      <x:c r="E387" s="2" t="str">
        <x:v>Include</x:v>
      </x:c>
      <x:c r="F387" s="2" t="str">
        <x:v>Yes</x:v>
      </x:c>
      <x:c r="G387" s="15" t="str">
        <x:v>6/6</x:v>
      </x:c>
      <x:c r="H387" s="18" t="n">
        <x:v>5.67</x:v>
      </x:c>
      <x:c r="I387" s="18" t="n">
        <x:v>4.67</x:v>
      </x:c>
      <x:c r="J387" s="18" t="n">
        <x:v>3.67</x:v>
      </x:c>
      <x:c r="K387" s="18" t="n">
        <x:v>3.33</x:v>
      </x:c>
      <x:c r="L387" s="18" t="n">
        <x:v>3.67</x:v>
      </x:c>
      <x:c r="M387" s="18" t="n">
        <x:v>5</x:v>
      </x:c>
      <x:c r="N387" s="12" t="str">
        <x:v>Design special exhibits and sets for film, video, television, and theater productions. May study scripts, confer with directors, and conduct research to determine appropriate architectural styles.</x:v>
      </x:c>
      <x:c r="O387" s="12" t="str">
        <x:v>https://www.onetonline.org/link/summary/27-1027.00</x:v>
      </x:c>
      <x:c r="P387" s="12" t="str">
        <x:v>SOC27 arts/design/entertainment/sports/media plus historians; a broad occupational background.</x:v>
      </x:c>
    </x:row>
    <x:row r="388" ht="37.5" customHeight="1">
      <x:c r="A388" s="15" t="str">
        <x:v>770100</x:v>
      </x:c>
      <x:c r="B388" s="12" t="str">
        <x:v>Writers, editors, public relations specialists, artists, entertainers, broadcasters, and historiansd</x:v>
      </x:c>
      <x:c r="C388" s="35" t="str">
        <x:v>27-1029.00</x:v>
      </x:c>
      <x:c r="D388" s="12" t="str">
        <x:v>Designers, All Other</x:v>
      </x:c>
      <x:c r="E388" s="2" t="str">
        <x:v>Exclude (no Work Values)</x:v>
      </x:c>
      <x:c r="F388" s="2" t="str">
        <x:v>Yes</x:v>
      </x:c>
      <x:c r="G388" s="15" t="str">
        <x:v>0/6</x:v>
      </x:c>
      <x:c r="H388" s="18"/>
      <x:c r="I388" s="18"/>
      <x:c r="J388" s="18"/>
      <x:c r="K388" s="18"/>
      <x:c r="L388" s="18"/>
      <x:c r="M388" s="18"/>
      <x:c r="N388" s="12" t="str">
        <x:v>All designers not listed separately.</x:v>
      </x:c>
      <x:c r="O388" s="12" t="str">
        <x:v>https://www.onetonline.org/link/summary/27-1029.00</x:v>
      </x:c>
      <x:c r="P388" s="12" t="str">
        <x:v>SOC27 arts/design/entertainment/sports/media plus historians; a broad occupational background.</x:v>
      </x:c>
    </x:row>
    <x:row r="389" ht="37.5" customHeight="1">
      <x:c r="A389" s="15" t="str">
        <x:v>770100</x:v>
      </x:c>
      <x:c r="B389" s="12" t="str">
        <x:v>Writers, editors, public relations specialists, artists, entertainers, broadcasters, and historiansd</x:v>
      </x:c>
      <x:c r="C389" s="35" t="str">
        <x:v>27-2011.00</x:v>
      </x:c>
      <x:c r="D389" s="12" t="str">
        <x:v>Actors</x:v>
      </x:c>
      <x:c r="E389" s="2" t="str">
        <x:v>Include</x:v>
      </x:c>
      <x:c r="F389" s="2" t="str">
        <x:v>Yes</x:v>
      </x:c>
      <x:c r="G389" s="15" t="str">
        <x:v>6/6</x:v>
      </x:c>
      <x:c r="H389" s="18" t="n">
        <x:v>5.67</x:v>
      </x:c>
      <x:c r="I389" s="18" t="n">
        <x:v>4.17</x:v>
      </x:c>
      <x:c r="J389" s="18" t="n">
        <x:v>4.67</x:v>
      </x:c>
      <x:c r="K389" s="18" t="n">
        <x:v>6</x:v>
      </x:c>
      <x:c r="L389" s="18" t="n">
        <x:v>2</x:v>
      </x:c>
      <x:c r="M389" s="18" t="n">
        <x:v>4.67</x:v>
      </x:c>
      <x:c r="N389" s="12" t="str">
        <x:v>Play parts in stage, television, radio, video, or film productions, or other settings for entertainment, information, or instruction. Interpret serious or comic role by speech, gesture, and body movement to entertain or inform audience. May dance and sing.</x:v>
      </x:c>
      <x:c r="O389" s="12" t="str">
        <x:v>https://www.onetonline.org/link/summary/27-2011.00</x:v>
      </x:c>
      <x:c r="P389" s="12" t="str">
        <x:v>SOC27 arts/design/entertainment/sports/media plus historians; a broad occupational background.</x:v>
      </x:c>
    </x:row>
    <x:row r="390" ht="37.5" customHeight="1">
      <x:c r="A390" s="15" t="str">
        <x:v>770100</x:v>
      </x:c>
      <x:c r="B390" s="12" t="str">
        <x:v>Writers, editors, public relations specialists, artists, entertainers, broadcasters, and historiansd</x:v>
      </x:c>
      <x:c r="C390" s="35" t="str">
        <x:v>27-2012.00</x:v>
      </x:c>
      <x:c r="D390" s="12" t="str">
        <x:v>Producers and Directors</x:v>
      </x:c>
      <x:c r="E390" s="2" t="str">
        <x:v>Include</x:v>
      </x:c>
      <x:c r="F390" s="2" t="str">
        <x:v>Yes</x:v>
      </x:c>
      <x:c r="G390" s="15" t="str">
        <x:v>6/6</x:v>
      </x:c>
      <x:c r="H390" s="18" t="n">
        <x:v>5.83</x:v>
      </x:c>
      <x:c r="I390" s="18" t="n">
        <x:v>5.08</x:v>
      </x:c>
      <x:c r="J390" s="18" t="n">
        <x:v>6</x:v>
      </x:c>
      <x:c r="K390" s="18" t="n">
        <x:v>5.17</x:v>
      </x:c>
      <x:c r="L390" s="18" t="n">
        <x:v>2.83</x:v>
      </x:c>
      <x:c r="M390" s="18" t="n">
        <x:v>6.33</x:v>
      </x:c>
      <x:c r="N390" s="12" t="str">
        <x:v>Produce or direct stage, television, radio, video, or film productions for entertainment, information, or instruction. Responsible for creative decisions, such as interpretation of script, choice of actors or guests, set design, sound, special effects, and choreography.</x:v>
      </x:c>
      <x:c r="O390" s="12" t="str">
        <x:v>https://www.onetonline.org/link/summary/27-2012.00</x:v>
      </x:c>
      <x:c r="P390" s="12" t="str">
        <x:v>SOC27 arts/design/entertainment/sports/media plus historians; a broad occupational background.</x:v>
      </x:c>
    </x:row>
    <x:row r="391" ht="37.5" customHeight="1">
      <x:c r="A391" s="15" t="str">
        <x:v>770100</x:v>
      </x:c>
      <x:c r="B391" s="12" t="str">
        <x:v>Writers, editors, public relations specialists, artists, entertainers, broadcasters, and historiansd</x:v>
      </x:c>
      <x:c r="C391" s="35" t="str">
        <x:v>27-2021.00</x:v>
      </x:c>
      <x:c r="D391" s="12" t="str">
        <x:v>Athletes and Sports Competitors</x:v>
      </x:c>
      <x:c r="E391" s="2" t="str">
        <x:v>Include</x:v>
      </x:c>
      <x:c r="F391" s="2" t="str">
        <x:v>Yes</x:v>
      </x:c>
      <x:c r="G391" s="15" t="str">
        <x:v>6/6</x:v>
      </x:c>
      <x:c r="H391" s="18" t="n">
        <x:v>6</x:v>
      </x:c>
      <x:c r="I391" s="18" t="n">
        <x:v>4</x:v>
      </x:c>
      <x:c r="J391" s="18" t="n">
        <x:v>5.67</x:v>
      </x:c>
      <x:c r="K391" s="18" t="n">
        <x:v>5.67</x:v>
      </x:c>
      <x:c r="L391" s="18" t="n">
        <x:v>5</x:v>
      </x:c>
      <x:c r="M391" s="18" t="n">
        <x:v>4.33</x:v>
      </x:c>
      <x:c r="N391" s="12" t="str">
        <x:v>Compete in athletic events.</x:v>
      </x:c>
      <x:c r="O391" s="12" t="str">
        <x:v>https://www.onetonline.org/link/summary/27-2021.00</x:v>
      </x:c>
      <x:c r="P391" s="12" t="str">
        <x:v>SOC27 arts/design/entertainment/sports/media plus historians; a broad occupational background.</x:v>
      </x:c>
    </x:row>
    <x:row r="392" ht="37.5" customHeight="1">
      <x:c r="A392" s="15" t="str">
        <x:v>770100</x:v>
      </x:c>
      <x:c r="B392" s="12" t="str">
        <x:v>Writers, editors, public relations specialists, artists, entertainers, broadcasters, and historiansd</x:v>
      </x:c>
      <x:c r="C392" s="35" t="str">
        <x:v>27-2022.00</x:v>
      </x:c>
      <x:c r="D392" s="12" t="str">
        <x:v>Coaches and Scouts</x:v>
      </x:c>
      <x:c r="E392" s="2" t="str">
        <x:v>Include</x:v>
      </x:c>
      <x:c r="F392" s="2" t="str">
        <x:v>Yes</x:v>
      </x:c>
      <x:c r="G392" s="15" t="str">
        <x:v>6/6</x:v>
      </x:c>
      <x:c r="H392" s="18" t="n">
        <x:v>6</x:v>
      </x:c>
      <x:c r="I392" s="18" t="n">
        <x:v>4</x:v>
      </x:c>
      <x:c r="J392" s="18" t="n">
        <x:v>4</x:v>
      </x:c>
      <x:c r="K392" s="18" t="n">
        <x:v>6</x:v>
      </x:c>
      <x:c r="L392" s="18" t="n">
        <x:v>3.67</x:v>
      </x:c>
      <x:c r="M392" s="18" t="n">
        <x:v>6</x:v>
      </x:c>
      <x:c r="N392" s="12" t="str">
        <x:v>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x:v>
      </x:c>
      <x:c r="O392" s="12" t="str">
        <x:v>https://www.onetonline.org/link/summary/27-2022.00</x:v>
      </x:c>
      <x:c r="P392" s="12" t="str">
        <x:v>SOC27 arts/design/entertainment/sports/media plus historians; a broad occupational background.</x:v>
      </x:c>
    </x:row>
    <x:row r="393" ht="37.5" customHeight="1">
      <x:c r="A393" s="15" t="str">
        <x:v>770100</x:v>
      </x:c>
      <x:c r="B393" s="12" t="str">
        <x:v>Writers, editors, public relations specialists, artists, entertainers, broadcasters, and historiansd</x:v>
      </x:c>
      <x:c r="C393" s="35" t="str">
        <x:v>27-2023.00</x:v>
      </x:c>
      <x:c r="D393" s="12" t="str">
        <x:v>Umpires, Referees, and Other Sports Officials</x:v>
      </x:c>
      <x:c r="E393" s="2" t="str">
        <x:v>Include</x:v>
      </x:c>
      <x:c r="F393" s="2" t="str">
        <x:v>Yes</x:v>
      </x:c>
      <x:c r="G393" s="15" t="str">
        <x:v>6/6</x:v>
      </x:c>
      <x:c r="H393" s="18" t="n">
        <x:v>5.67</x:v>
      </x:c>
      <x:c r="I393" s="18" t="n">
        <x:v>3.67</x:v>
      </x:c>
      <x:c r="J393" s="18" t="n">
        <x:v>4</x:v>
      </x:c>
      <x:c r="K393" s="18" t="n">
        <x:v>3.67</x:v>
      </x:c>
      <x:c r="L393" s="18" t="n">
        <x:v>3.67</x:v>
      </x:c>
      <x:c r="M393" s="18" t="n">
        <x:v>4.33</x:v>
      </x:c>
      <x:c r="N393" s="12" t="str">
        <x:v>Officiate at competitive athletic or sporting events. Detect infractions of rules and decide penalties according to established regulations. Includes all sporting officials, referees, and competition judges.</x:v>
      </x:c>
      <x:c r="O393" s="12" t="str">
        <x:v>https://www.onetonline.org/link/summary/27-2023.00</x:v>
      </x:c>
      <x:c r="P393" s="12" t="str">
        <x:v>SOC27 arts/design/entertainment/sports/media plus historians; a broad occupational background.</x:v>
      </x:c>
    </x:row>
    <x:row r="394" ht="37.5" customHeight="1">
      <x:c r="A394" s="15" t="str">
        <x:v>770100</x:v>
      </x:c>
      <x:c r="B394" s="12" t="str">
        <x:v>Writers, editors, public relations specialists, artists, entertainers, broadcasters, and historiansd</x:v>
      </x:c>
      <x:c r="C394" s="35" t="str">
        <x:v>27-2031.00</x:v>
      </x:c>
      <x:c r="D394" s="12" t="str">
        <x:v>Dancers</x:v>
      </x:c>
      <x:c r="E394" s="2" t="str">
        <x:v>Include</x:v>
      </x:c>
      <x:c r="F394" s="2" t="str">
        <x:v>Yes</x:v>
      </x:c>
      <x:c r="G394" s="15" t="str">
        <x:v>6/6</x:v>
      </x:c>
      <x:c r="H394" s="18" t="n">
        <x:v>5.33</x:v>
      </x:c>
      <x:c r="I394" s="18" t="n">
        <x:v>4</x:v>
      </x:c>
      <x:c r="J394" s="18" t="n">
        <x:v>4</x:v>
      </x:c>
      <x:c r="K394" s="18" t="n">
        <x:v>5</x:v>
      </x:c>
      <x:c r="L394" s="18" t="n">
        <x:v>3</x:v>
      </x:c>
      <x:c r="M394" s="18" t="n">
        <x:v>3.67</x:v>
      </x:c>
      <x:c r="N394" s="12" t="str">
        <x:v>Perform dances. May perform on stage, for broadcasting, or for video recording.</x:v>
      </x:c>
      <x:c r="O394" s="12" t="str">
        <x:v>https://www.onetonline.org/link/summary/27-2031.00</x:v>
      </x:c>
      <x:c r="P394" s="12" t="str">
        <x:v>SOC27 arts/design/entertainment/sports/media plus historians; a broad occupational background.</x:v>
      </x:c>
    </x:row>
    <x:row r="395" ht="37.5" customHeight="1">
      <x:c r="A395" s="15" t="str">
        <x:v>770100</x:v>
      </x:c>
      <x:c r="B395" s="12" t="str">
        <x:v>Writers, editors, public relations specialists, artists, entertainers, broadcasters, and historiansd</x:v>
      </x:c>
      <x:c r="C395" s="35" t="str">
        <x:v>27-2032.00</x:v>
      </x:c>
      <x:c r="D395" s="12" t="str">
        <x:v>Choreographers</x:v>
      </x:c>
      <x:c r="E395" s="2" t="str">
        <x:v>Include</x:v>
      </x:c>
      <x:c r="F395" s="2" t="str">
        <x:v>Yes</x:v>
      </x:c>
      <x:c r="G395" s="15" t="str">
        <x:v>6/6</x:v>
      </x:c>
      <x:c r="H395" s="18" t="n">
        <x:v>6</x:v>
      </x:c>
      <x:c r="I395" s="18" t="n">
        <x:v>4.17</x:v>
      </x:c>
      <x:c r="J395" s="18" t="n">
        <x:v>5.33</x:v>
      </x:c>
      <x:c r="K395" s="18" t="n">
        <x:v>5.67</x:v>
      </x:c>
      <x:c r="L395" s="18" t="n">
        <x:v>2</x:v>
      </x:c>
      <x:c r="M395" s="18" t="n">
        <x:v>5.67</x:v>
      </x:c>
      <x:c r="N395" s="12" t="str">
        <x:v>Create new dance routines. Rehearse performance of routines. May direct and stage presentations.</x:v>
      </x:c>
      <x:c r="O395" s="12" t="str">
        <x:v>https://www.onetonline.org/link/summary/27-2032.00</x:v>
      </x:c>
      <x:c r="P395" s="12" t="str">
        <x:v>SOC27 arts/design/entertainment/sports/media plus historians; a broad occupational background.</x:v>
      </x:c>
    </x:row>
    <x:row r="396" ht="37.5" customHeight="1">
      <x:c r="A396" s="15" t="str">
        <x:v>770100</x:v>
      </x:c>
      <x:c r="B396" s="12" t="str">
        <x:v>Writers, editors, public relations specialists, artists, entertainers, broadcasters, and historiansd</x:v>
      </x:c>
      <x:c r="C396" s="35" t="str">
        <x:v>27-2041.00</x:v>
      </x:c>
      <x:c r="D396" s="12" t="str">
        <x:v>Music Directors and Composers</x:v>
      </x:c>
      <x:c r="E396" s="2" t="str">
        <x:v>Include</x:v>
      </x:c>
      <x:c r="F396" s="2" t="str">
        <x:v>Yes</x:v>
      </x:c>
      <x:c r="G396" s="15" t="str">
        <x:v>6/6</x:v>
      </x:c>
      <x:c r="H396" s="18" t="n">
        <x:v>6.33</x:v>
      </x:c>
      <x:c r="I396" s="18" t="n">
        <x:v>4.42</x:v>
      </x:c>
      <x:c r="J396" s="18" t="n">
        <x:v>5.17</x:v>
      </x:c>
      <x:c r="K396" s="18" t="n">
        <x:v>4.83</x:v>
      </x:c>
      <x:c r="L396" s="18" t="n">
        <x:v>3.17</x:v>
      </x:c>
      <x:c r="M396" s="18" t="n">
        <x:v>5.5</x:v>
      </x:c>
      <x:c r="N396" s="12" t="str">
        <x:v>Conduct, direct, plan, and lead instrumental or vocal performances by musical artists or groups, such as orchestras, bands, choirs, and glee clubs; or create original works of music.</x:v>
      </x:c>
      <x:c r="O396" s="12" t="str">
        <x:v>https://www.onetonline.org/link/summary/27-2041.00</x:v>
      </x:c>
      <x:c r="P396" s="12" t="str">
        <x:v>SOC27 arts/design/entertainment/sports/media plus historians; a broad occupational background.</x:v>
      </x:c>
    </x:row>
    <x:row r="397" ht="37.5" customHeight="1">
      <x:c r="A397" s="15" t="str">
        <x:v>770100</x:v>
      </x:c>
      <x:c r="B397" s="12" t="str">
        <x:v>Writers, editors, public relations specialists, artists, entertainers, broadcasters, and historiansd</x:v>
      </x:c>
      <x:c r="C397" s="35" t="str">
        <x:v>27-2042.00</x:v>
      </x:c>
      <x:c r="D397" s="12" t="str">
        <x:v>Musicians and Singers</x:v>
      </x:c>
      <x:c r="E397" s="2" t="str">
        <x:v>Include</x:v>
      </x:c>
      <x:c r="F397" s="2" t="str">
        <x:v>Yes</x:v>
      </x:c>
      <x:c r="G397" s="15" t="str">
        <x:v>6/6</x:v>
      </x:c>
      <x:c r="H397" s="18" t="n">
        <x:v>5.33</x:v>
      </x:c>
      <x:c r="I397" s="18" t="n">
        <x:v>3.92</x:v>
      </x:c>
      <x:c r="J397" s="18" t="n">
        <x:v>4.33</x:v>
      </x:c>
      <x:c r="K397" s="18" t="n">
        <x:v>5.67</x:v>
      </x:c>
      <x:c r="L397" s="18" t="n">
        <x:v>2</x:v>
      </x:c>
      <x:c r="M397" s="18" t="n">
        <x:v>3.33</x:v>
      </x:c>
      <x:c r="N397" s="12" t="str">
        <x:v>Play one or more musical instruments or sing. May perform on stage, for broadcasting, or for sound or video recording.</x:v>
      </x:c>
      <x:c r="O397" s="12" t="str">
        <x:v>https://www.onetonline.org/link/summary/27-2042.00</x:v>
      </x:c>
      <x:c r="P397" s="12" t="str">
        <x:v>SOC27 arts/design/entertainment/sports/media plus historians; a broad occupational background.</x:v>
      </x:c>
    </x:row>
    <x:row r="398" ht="37.5" customHeight="1">
      <x:c r="A398" s="15" t="str">
        <x:v>770100</x:v>
      </x:c>
      <x:c r="B398" s="12" t="str">
        <x:v>Writers, editors, public relations specialists, artists, entertainers, broadcasters, and historiansd</x:v>
      </x:c>
      <x:c r="C398" s="35" t="str">
        <x:v>27-2091.00</x:v>
      </x:c>
      <x:c r="D398" s="12" t="str">
        <x:v>Disc Jockeys, Except Radio</x:v>
      </x:c>
      <x:c r="E398" s="2" t="str">
        <x:v>Exclude (no Work Values)</x:v>
      </x:c>
      <x:c r="F398" s="2" t="str">
        <x:v>Yes</x:v>
      </x:c>
      <x:c r="G398" s="15" t="str">
        <x:v>0/6</x:v>
      </x:c>
      <x:c r="H398" s="18"/>
      <x:c r="I398" s="18"/>
      <x:c r="J398" s="18"/>
      <x:c r="K398" s="18"/>
      <x:c r="L398" s="18"/>
      <x:c r="M398" s="18"/>
      <x:c r="N398" s="12" t="str">
        <x:v>Play prerecorded music for live audiences at venues or events such as clubs, parties, or wedding receptions. May use techniques such as mixing, cutting, or sampling to manipulate recordings. May also perform as emcee (master of ceremonies).</x:v>
      </x:c>
      <x:c r="O398" s="12" t="str">
        <x:v>https://www.onetonline.org/link/summary/27-2091.00</x:v>
      </x:c>
      <x:c r="P398" s="12" t="str">
        <x:v>SOC27 arts/design/entertainment/sports/media plus historians; a broad occupational background.</x:v>
      </x:c>
    </x:row>
    <x:row r="399" ht="37.5" customHeight="1">
      <x:c r="A399" s="15" t="str">
        <x:v>770100</x:v>
      </x:c>
      <x:c r="B399" s="12" t="str">
        <x:v>Writers, editors, public relations specialists, artists, entertainers, broadcasters, and historiansd</x:v>
      </x:c>
      <x:c r="C399" s="35" t="str">
        <x:v>27-2099.00</x:v>
      </x:c>
      <x:c r="D399" s="12" t="str">
        <x:v>Entertainers and Performers, Sports and Related Workers, All Other</x:v>
      </x:c>
      <x:c r="E399" s="2" t="str">
        <x:v>Exclude (no Work Values)</x:v>
      </x:c>
      <x:c r="F399" s="2" t="str">
        <x:v>Yes</x:v>
      </x:c>
      <x:c r="G399" s="15" t="str">
        <x:v>0/6</x:v>
      </x:c>
      <x:c r="H399" s="18"/>
      <x:c r="I399" s="18"/>
      <x:c r="J399" s="18"/>
      <x:c r="K399" s="18"/>
      <x:c r="L399" s="18"/>
      <x:c r="M399" s="18"/>
      <x:c r="N399" s="12" t="str">
        <x:v>All entertainers and performers, sports and related workers not listed separately.</x:v>
      </x:c>
      <x:c r="O399" s="12" t="str">
        <x:v>https://www.onetonline.org/link/summary/27-2099.00</x:v>
      </x:c>
      <x:c r="P399" s="12" t="str">
        <x:v>SOC27 arts/design/entertainment/sports/media plus historians; a broad occupational background.</x:v>
      </x:c>
    </x:row>
    <x:row r="400" ht="37.5" customHeight="1">
      <x:c r="A400" s="15" t="str">
        <x:v>770100</x:v>
      </x:c>
      <x:c r="B400" s="12" t="str">
        <x:v>Writers, editors, public relations specialists, artists, entertainers, broadcasters, and historiansd</x:v>
      </x:c>
      <x:c r="C400" s="35" t="str">
        <x:v>27-3011.00</x:v>
      </x:c>
      <x:c r="D400" s="12" t="str">
        <x:v>Broadcast Announcers and Radio Disc Jockeys</x:v>
      </x:c>
      <x:c r="E400" s="2" t="str">
        <x:v>Include</x:v>
      </x:c>
      <x:c r="F400" s="2" t="str">
        <x:v>Yes</x:v>
      </x:c>
      <x:c r="G400" s="15" t="str">
        <x:v>6/6</x:v>
      </x:c>
      <x:c r="H400" s="18" t="n">
        <x:v>5.33</x:v>
      </x:c>
      <x:c r="I400" s="18" t="n">
        <x:v>3.83</x:v>
      </x:c>
      <x:c r="J400" s="18" t="n">
        <x:v>5</x:v>
      </x:c>
      <x:c r="K400" s="18" t="n">
        <x:v>4.33</x:v>
      </x:c>
      <x:c r="L400" s="18" t="n">
        <x:v>4.67</x:v>
      </x:c>
      <x:c r="M400" s="18" t="n">
        <x:v>5</x:v>
      </x:c>
      <x:c r="N400" s="12" t="str">
        <x:v>Speak or read from scripted materials, such as news reports or commercial messages, on radio, television, or other communications media. May play and queue music, announce artist or title of performance, identify station, or interview guests.</x:v>
      </x:c>
      <x:c r="O400" s="12" t="str">
        <x:v>https://www.onetonline.org/link/summary/27-3011.00</x:v>
      </x:c>
      <x:c r="P400" s="12" t="str">
        <x:v>SOC27 arts/design/entertainment/sports/media plus historians; a broad occupational background.</x:v>
      </x:c>
    </x:row>
    <x:row r="401" ht="37.5" customHeight="1">
      <x:c r="A401" s="15" t="str">
        <x:v>770100</x:v>
      </x:c>
      <x:c r="B401" s="12" t="str">
        <x:v>Writers, editors, public relations specialists, artists, entertainers, broadcasters, and historiansd</x:v>
      </x:c>
      <x:c r="C401" s="35" t="str">
        <x:v>27-3023.00</x:v>
      </x:c>
      <x:c r="D401" s="12" t="str">
        <x:v>News Analysts, Reporters, and Journalists</x:v>
      </x:c>
      <x:c r="E401" s="2" t="str">
        <x:v>Include</x:v>
      </x:c>
      <x:c r="F401" s="2" t="str">
        <x:v>Yes</x:v>
      </x:c>
      <x:c r="G401" s="15" t="str">
        <x:v>6/6</x:v>
      </x:c>
      <x:c r="H401" s="18" t="n">
        <x:v>5.67</x:v>
      </x:c>
      <x:c r="I401" s="18" t="n">
        <x:v>4.75</x:v>
      </x:c>
      <x:c r="J401" s="18" t="n">
        <x:v>5.5</x:v>
      </x:c>
      <x:c r="K401" s="18" t="n">
        <x:v>4.83</x:v>
      </x:c>
      <x:c r="L401" s="18" t="n">
        <x:v>3.67</x:v>
      </x:c>
      <x:c r="M401" s="18" t="n">
        <x:v>5.17</x:v>
      </x:c>
      <x:c r="N401" s="12" t="str">
        <x:v>Narrate or write news stories, reviews, or commentary for print, broadcast, or other communications media such as newspapers, magazines, radio, or television. May collect and analyze information through interview, investigation, or observation.</x:v>
      </x:c>
      <x:c r="O401" s="12" t="str">
        <x:v>https://www.onetonline.org/link/summary/27-3023.00</x:v>
      </x:c>
      <x:c r="P401" s="12" t="str">
        <x:v>SOC27 arts/design/entertainment/sports/media plus historians; a broad occupational background.</x:v>
      </x:c>
    </x:row>
    <x:row r="402" ht="37.5" customHeight="1">
      <x:c r="A402" s="15" t="str">
        <x:v>770100</x:v>
      </x:c>
      <x:c r="B402" s="12" t="str">
        <x:v>Writers, editors, public relations specialists, artists, entertainers, broadcasters, and historiansd</x:v>
      </x:c>
      <x:c r="C402" s="35" t="str">
        <x:v>27-3031.00</x:v>
      </x:c>
      <x:c r="D402" s="12" t="str">
        <x:v>Public Relations Specialists</x:v>
      </x:c>
      <x:c r="E402" s="2" t="str">
        <x:v>Include</x:v>
      </x:c>
      <x:c r="F402" s="2" t="str">
        <x:v>Yes</x:v>
      </x:c>
      <x:c r="G402" s="15" t="str">
        <x:v>6/6</x:v>
      </x:c>
      <x:c r="H402" s="18" t="n">
        <x:v>5.67</x:v>
      </x:c>
      <x:c r="I402" s="18" t="n">
        <x:v>5.33</x:v>
      </x:c>
      <x:c r="J402" s="18" t="n">
        <x:v>4.67</x:v>
      </x:c>
      <x:c r="K402" s="18" t="n">
        <x:v>5.33</x:v>
      </x:c>
      <x:c r="L402" s="18" t="n">
        <x:v>4.67</x:v>
      </x:c>
      <x:c r="M402" s="18" t="n">
        <x:v>5.67</x:v>
      </x:c>
      <x:c r="N402" s="12" t="str">
        <x:v>Promote or create an intended public image for individuals, groups, or organizations. May write or select material for release to various communications media. May specialize in using social media.</x:v>
      </x:c>
      <x:c r="O402" s="12" t="str">
        <x:v>https://www.onetonline.org/link/summary/27-3031.00</x:v>
      </x:c>
      <x:c r="P402" s="12" t="str">
        <x:v>SOC27 arts/design/entertainment/sports/media plus historians; a broad occupational background.</x:v>
      </x:c>
    </x:row>
    <x:row r="403" ht="37.5" customHeight="1">
      <x:c r="A403" s="15" t="str">
        <x:v>770100</x:v>
      </x:c>
      <x:c r="B403" s="12" t="str">
        <x:v>Writers, editors, public relations specialists, artists, entertainers, broadcasters, and historiansd</x:v>
      </x:c>
      <x:c r="C403" s="35" t="str">
        <x:v>27-3041.00</x:v>
      </x:c>
      <x:c r="D403" s="12" t="str">
        <x:v>Editors</x:v>
      </x:c>
      <x:c r="E403" s="2" t="str">
        <x:v>Include</x:v>
      </x:c>
      <x:c r="F403" s="2" t="str">
        <x:v>Yes</x:v>
      </x:c>
      <x:c r="G403" s="15" t="str">
        <x:v>6/6</x:v>
      </x:c>
      <x:c r="H403" s="18" t="n">
        <x:v>5.33</x:v>
      </x:c>
      <x:c r="I403" s="18" t="n">
        <x:v>4.33</x:v>
      </x:c>
      <x:c r="J403" s="18" t="n">
        <x:v>5</x:v>
      </x:c>
      <x:c r="K403" s="18" t="n">
        <x:v>4.33</x:v>
      </x:c>
      <x:c r="L403" s="18" t="n">
        <x:v>4</x:v>
      </x:c>
      <x:c r="M403" s="18" t="n">
        <x:v>6</x:v>
      </x:c>
      <x:c r="N403" s="12" t="str">
        <x:v>Plan, coordinate, revise, or edit written material. May review proposals and drafts for possible publication.</x:v>
      </x:c>
      <x:c r="O403" s="12" t="str">
        <x:v>https://www.onetonline.org/link/summary/27-3041.00</x:v>
      </x:c>
      <x:c r="P403" s="12" t="str">
        <x:v>SOC27 arts/design/entertainment/sports/media plus historians; a broad occupational background.</x:v>
      </x:c>
    </x:row>
    <x:row r="404" ht="37.5" customHeight="1">
      <x:c r="A404" s="15" t="str">
        <x:v>770100</x:v>
      </x:c>
      <x:c r="B404" s="12" t="str">
        <x:v>Writers, editors, public relations specialists, artists, entertainers, broadcasters, and historiansd</x:v>
      </x:c>
      <x:c r="C404" s="35" t="str">
        <x:v>27-3042.00</x:v>
      </x:c>
      <x:c r="D404" s="12" t="str">
        <x:v>Technical Writers</x:v>
      </x:c>
      <x:c r="E404" s="2" t="str">
        <x:v>Include</x:v>
      </x:c>
      <x:c r="F404" s="2" t="str">
        <x:v>Yes</x:v>
      </x:c>
      <x:c r="G404" s="15" t="str">
        <x:v>6/6</x:v>
      </x:c>
      <x:c r="H404" s="18" t="n">
        <x:v>4.33</x:v>
      </x:c>
      <x:c r="I404" s="18" t="n">
        <x:v>4.67</x:v>
      </x:c>
      <x:c r="J404" s="18" t="n">
        <x:v>3.33</x:v>
      </x:c>
      <x:c r="K404" s="18" t="n">
        <x:v>3</x:v>
      </x:c>
      <x:c r="L404" s="18" t="n">
        <x:v>3.67</x:v>
      </x:c>
      <x:c r="M404" s="18" t="n">
        <x:v>4.67</x:v>
      </x:c>
      <x:c r="N404" s="12" t="str">
        <x:v>Write technical materials, such as equipment manuals, appendices, or operating and maintenance instructions. May assist in layout work.</x:v>
      </x:c>
      <x:c r="O404" s="12" t="str">
        <x:v>https://www.onetonline.org/link/summary/27-3042.00</x:v>
      </x:c>
      <x:c r="P404" s="12" t="str">
        <x:v>SOC27 arts/design/entertainment/sports/media plus historians; a broad occupational background.</x:v>
      </x:c>
    </x:row>
    <x:row r="405" ht="37.5" customHeight="1">
      <x:c r="A405" s="15" t="str">
        <x:v>770100</x:v>
      </x:c>
      <x:c r="B405" s="12" t="str">
        <x:v>Writers, editors, public relations specialists, artists, entertainers, broadcasters, and historiansd</x:v>
      </x:c>
      <x:c r="C405" s="35" t="str">
        <x:v>27-3043.00</x:v>
      </x:c>
      <x:c r="D405" s="12" t="str">
        <x:v>Writers and Authors</x:v>
      </x:c>
      <x:c r="E405" s="2" t="str">
        <x:v>Include</x:v>
      </x:c>
      <x:c r="F405" s="2" t="str">
        <x:v>Yes</x:v>
      </x:c>
      <x:c r="G405" s="15" t="str">
        <x:v>6/6</x:v>
      </x:c>
      <x:c r="H405" s="18" t="n">
        <x:v>5</x:v>
      </x:c>
      <x:c r="I405" s="18" t="n">
        <x:v>4.17</x:v>
      </x:c>
      <x:c r="J405" s="18" t="n">
        <x:v>3.67</x:v>
      </x:c>
      <x:c r="K405" s="18" t="n">
        <x:v>4</x:v>
      </x:c>
      <x:c r="L405" s="18" t="n">
        <x:v>4.33</x:v>
      </x:c>
      <x:c r="M405" s="18" t="n">
        <x:v>3.67</x:v>
      </x:c>
      <x:c r="N405" s="12" t="str">
        <x:v>Originate and prepare written material, such as scripts, stories, advertisements, and other material.</x:v>
      </x:c>
      <x:c r="O405" s="12" t="str">
        <x:v>https://www.onetonline.org/link/summary/27-3043.00</x:v>
      </x:c>
      <x:c r="P405" s="12" t="str">
        <x:v>SOC27 arts/design/entertainment/sports/media plus historians; a broad occupational background.</x:v>
      </x:c>
    </x:row>
    <x:row r="406" ht="37.5" customHeight="1">
      <x:c r="A406" s="15" t="str">
        <x:v>770100</x:v>
      </x:c>
      <x:c r="B406" s="12" t="str">
        <x:v>Writers, editors, public relations specialists, artists, entertainers, broadcasters, and historiansd</x:v>
      </x:c>
      <x:c r="C406" s="35" t="str">
        <x:v>27-3091.00</x:v>
      </x:c>
      <x:c r="D406" s="12" t="str">
        <x:v>Interpreters and Translators</x:v>
      </x:c>
      <x:c r="E406" s="2" t="str">
        <x:v>Include</x:v>
      </x:c>
      <x:c r="F406" s="2" t="str">
        <x:v>Yes</x:v>
      </x:c>
      <x:c r="G406" s="15" t="str">
        <x:v>6/6</x:v>
      </x:c>
      <x:c r="H406" s="18" t="n">
        <x:v>3.67</x:v>
      </x:c>
      <x:c r="I406" s="18" t="n">
        <x:v>4.17</x:v>
      </x:c>
      <x:c r="J406" s="18" t="n">
        <x:v>4</x:v>
      </x:c>
      <x:c r="K406" s="18" t="n">
        <x:v>5.33</x:v>
      </x:c>
      <x:c r="L406" s="18" t="n">
        <x:v>3.67</x:v>
      </x:c>
      <x:c r="M406" s="18" t="n">
        <x:v>3.67</x:v>
      </x:c>
      <x:c r="N406" s="12" t="str">
        <x:v>Interpret oral or sign language, or translate written text from one language into another.</x:v>
      </x:c>
      <x:c r="O406" s="12" t="str">
        <x:v>https://www.onetonline.org/link/summary/27-3091.00</x:v>
      </x:c>
      <x:c r="P406" s="12" t="str">
        <x:v>SOC27 arts/design/entertainment/sports/media plus historians; a broad occupational background.</x:v>
      </x:c>
    </x:row>
    <x:row r="407" ht="37.5" customHeight="1">
      <x:c r="A407" s="15" t="str">
        <x:v>770100</x:v>
      </x:c>
      <x:c r="B407" s="12" t="str">
        <x:v>Writers, editors, public relations specialists, artists, entertainers, broadcasters, and historiansd</x:v>
      </x:c>
      <x:c r="C407" s="35" t="str">
        <x:v>27-3092.00</x:v>
      </x:c>
      <x:c r="D407" s="12" t="str">
        <x:v>Court Reporters and Simultaneous Captioners</x:v>
      </x:c>
      <x:c r="E407" s="2" t="str">
        <x:v>Include</x:v>
      </x:c>
      <x:c r="F407" s="2" t="str">
        <x:v>Yes</x:v>
      </x:c>
      <x:c r="G407" s="15" t="str">
        <x:v>6/6</x:v>
      </x:c>
      <x:c r="H407" s="18" t="n">
        <x:v>4</x:v>
      </x:c>
      <x:c r="I407" s="18" t="n">
        <x:v>3.33</x:v>
      </x:c>
      <x:c r="J407" s="18" t="n">
        <x:v>3</x:v>
      </x:c>
      <x:c r="K407" s="18" t="n">
        <x:v>4.33</x:v>
      </x:c>
      <x:c r="L407" s="18" t="n">
        <x:v>4</x:v>
      </x:c>
      <x:c r="M407" s="18" t="n">
        <x:v>3.67</x:v>
      </x:c>
      <x:c r="N407" s="12" t="str">
        <x:v>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x:v>
      </x:c>
      <x:c r="O407" s="12" t="str">
        <x:v>https://www.onetonline.org/link/summary/27-3092.00</x:v>
      </x:c>
      <x:c r="P407" s="12" t="str">
        <x:v>SOC27 arts/design/entertainment/sports/media plus historians; a broad occupational background.</x:v>
      </x:c>
    </x:row>
    <x:row r="408" ht="37.5" customHeight="1">
      <x:c r="A408" s="15" t="str">
        <x:v>770100</x:v>
      </x:c>
      <x:c r="B408" s="12" t="str">
        <x:v>Writers, editors, public relations specialists, artists, entertainers, broadcasters, and historiansd</x:v>
      </x:c>
      <x:c r="C408" s="35" t="str">
        <x:v>27-3099.00</x:v>
      </x:c>
      <x:c r="D408" s="12" t="str">
        <x:v>Media and Communication Workers, All Other</x:v>
      </x:c>
      <x:c r="E408" s="2" t="str">
        <x:v>Exclude (no Work Values)</x:v>
      </x:c>
      <x:c r="F408" s="2" t="str">
        <x:v>Yes</x:v>
      </x:c>
      <x:c r="G408" s="15" t="str">
        <x:v>0/6</x:v>
      </x:c>
      <x:c r="H408" s="18"/>
      <x:c r="I408" s="18"/>
      <x:c r="J408" s="18"/>
      <x:c r="K408" s="18"/>
      <x:c r="L408" s="18"/>
      <x:c r="M408" s="18"/>
      <x:c r="N408" s="12" t="str">
        <x:v>All media and communication workers not listed separately.</x:v>
      </x:c>
      <x:c r="O408" s="12" t="str">
        <x:v>https://www.onetonline.org/link/summary/27-3099.00</x:v>
      </x:c>
      <x:c r="P408" s="12" t="str">
        <x:v>SOC27 arts/design/entertainment/sports/media plus historians; a broad occupational background.</x:v>
      </x:c>
    </x:row>
    <x:row r="409" ht="37.5" customHeight="1">
      <x:c r="A409" s="15" t="str">
        <x:v>770100</x:v>
      </x:c>
      <x:c r="B409" s="12" t="str">
        <x:v>Writers, editors, public relations specialists, artists, entertainers, broadcasters, and historiansd</x:v>
      </x:c>
      <x:c r="C409" s="35" t="str">
        <x:v>27-4011.00</x:v>
      </x:c>
      <x:c r="D409" s="12" t="str">
        <x:v>Audio and Video Technicians</x:v>
      </x:c>
      <x:c r="E409" s="2" t="str">
        <x:v>Include</x:v>
      </x:c>
      <x:c r="F409" s="2" t="str">
        <x:v>Yes</x:v>
      </x:c>
      <x:c r="G409" s="15" t="str">
        <x:v>6/6</x:v>
      </x:c>
      <x:c r="H409" s="18" t="n">
        <x:v>3</x:v>
      </x:c>
      <x:c r="I409" s="18" t="n">
        <x:v>3.5</x:v>
      </x:c>
      <x:c r="J409" s="18" t="n">
        <x:v>2.33</x:v>
      </x:c>
      <x:c r="K409" s="18" t="n">
        <x:v>4.33</x:v>
      </x:c>
      <x:c r="L409" s="18" t="n">
        <x:v>4.33</x:v>
      </x:c>
      <x:c r="M409" s="18" t="n">
        <x:v>4.33</x:v>
      </x:c>
      <x:c r="N409" s="12" t="str">
        <x:v>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x:v>
      </x:c>
      <x:c r="O409" s="12" t="str">
        <x:v>https://www.onetonline.org/link/summary/27-4011.00</x:v>
      </x:c>
      <x:c r="P409" s="12" t="str">
        <x:v>SOC27 arts/design/entertainment/sports/media plus historians; a broad occupational background.</x:v>
      </x:c>
    </x:row>
    <x:row r="410" ht="37.5" customHeight="1">
      <x:c r="A410" s="15" t="str">
        <x:v>770100</x:v>
      </x:c>
      <x:c r="B410" s="12" t="str">
        <x:v>Writers, editors, public relations specialists, artists, entertainers, broadcasters, and historiansd</x:v>
      </x:c>
      <x:c r="C410" s="35" t="str">
        <x:v>27-4012.00</x:v>
      </x:c>
      <x:c r="D410" s="12" t="str">
        <x:v>Broadcast Technicians</x:v>
      </x:c>
      <x:c r="E410" s="2" t="str">
        <x:v>Include</x:v>
      </x:c>
      <x:c r="F410" s="2" t="str">
        <x:v>Yes</x:v>
      </x:c>
      <x:c r="G410" s="15" t="str">
        <x:v>6/6</x:v>
      </x:c>
      <x:c r="H410" s="18" t="n">
        <x:v>4</x:v>
      </x:c>
      <x:c r="I410" s="18" t="n">
        <x:v>3.67</x:v>
      </x:c>
      <x:c r="J410" s="18" t="n">
        <x:v>3</x:v>
      </x:c>
      <x:c r="K410" s="18" t="n">
        <x:v>3.33</x:v>
      </x:c>
      <x:c r="L410" s="18" t="n">
        <x:v>4.33</x:v>
      </x:c>
      <x:c r="M410" s="18" t="n">
        <x:v>4</x:v>
      </x:c>
      <x:c r="N410" s="12" t="str">
        <x:v>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x:v>
      </x:c>
      <x:c r="O410" s="12" t="str">
        <x:v>https://www.onetonline.org/link/summary/27-4012.00</x:v>
      </x:c>
      <x:c r="P410" s="12" t="str">
        <x:v>SOC27 arts/design/entertainment/sports/media plus historians; a broad occupational background.</x:v>
      </x:c>
    </x:row>
    <x:row r="411" ht="37.5" customHeight="1">
      <x:c r="A411" s="15" t="str">
        <x:v>770100</x:v>
      </x:c>
      <x:c r="B411" s="12" t="str">
        <x:v>Writers, editors, public relations specialists, artists, entertainers, broadcasters, and historiansd</x:v>
      </x:c>
      <x:c r="C411" s="35" t="str">
        <x:v>27-4014.00</x:v>
      </x:c>
      <x:c r="D411" s="12" t="str">
        <x:v>Sound Engineering Technicians</x:v>
      </x:c>
      <x:c r="E411" s="2" t="str">
        <x:v>Include</x:v>
      </x:c>
      <x:c r="F411" s="2" t="str">
        <x:v>Yes</x:v>
      </x:c>
      <x:c r="G411" s="15" t="str">
        <x:v>6/6</x:v>
      </x:c>
      <x:c r="H411" s="18" t="n">
        <x:v>5.33</x:v>
      </x:c>
      <x:c r="I411" s="18" t="n">
        <x:v>4.83</x:v>
      </x:c>
      <x:c r="J411" s="18" t="n">
        <x:v>4.67</x:v>
      </x:c>
      <x:c r="K411" s="18" t="n">
        <x:v>5.67</x:v>
      </x:c>
      <x:c r="L411" s="18" t="n">
        <x:v>3</x:v>
      </x:c>
      <x:c r="M411" s="18" t="n">
        <x:v>6</x:v>
      </x:c>
      <x:c r="N411" s="12" t="str">
        <x:v>Assemble and operate equipment to record, synchronize, mix, edit, or reproduce sound, including music, voices, or sound effects, for theater, video, film, television, podcasts, sporting events, and other productions.</x:v>
      </x:c>
      <x:c r="O411" s="12" t="str">
        <x:v>https://www.onetonline.org/link/summary/27-4014.00</x:v>
      </x:c>
      <x:c r="P411" s="12" t="str">
        <x:v>SOC27 arts/design/entertainment/sports/media plus historians; a broad occupational background.</x:v>
      </x:c>
    </x:row>
    <x:row r="412" ht="37.5" customHeight="1">
      <x:c r="A412" s="15" t="str">
        <x:v>770100</x:v>
      </x:c>
      <x:c r="B412" s="12" t="str">
        <x:v>Writers, editors, public relations specialists, artists, entertainers, broadcasters, and historiansd</x:v>
      </x:c>
      <x:c r="C412" s="35" t="str">
        <x:v>27-4015.00</x:v>
      </x:c>
      <x:c r="D412" s="12" t="str">
        <x:v>Lighting Technicians</x:v>
      </x:c>
      <x:c r="E412" s="2" t="str">
        <x:v>Exclude (no Work Values)</x:v>
      </x:c>
      <x:c r="F412" s="2" t="str">
        <x:v>Yes</x:v>
      </x:c>
      <x:c r="G412" s="15" t="str">
        <x:v>0/6</x:v>
      </x:c>
      <x:c r="H412" s="18"/>
      <x:c r="I412" s="18"/>
      <x:c r="J412" s="18"/>
      <x:c r="K412" s="18"/>
      <x:c r="L412" s="18"/>
      <x:c r="M412" s="18"/>
      <x:c r="N412" s="12" t="str">
        <x:v>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x:v>
      </x:c>
      <x:c r="O412" s="12" t="str">
        <x:v>https://www.onetonline.org/link/summary/27-4015.00</x:v>
      </x:c>
      <x:c r="P412" s="12" t="str">
        <x:v>SOC27 arts/design/entertainment/sports/media plus historians; a broad occupational background.</x:v>
      </x:c>
    </x:row>
    <x:row r="413" ht="37.5" customHeight="1">
      <x:c r="A413" s="15" t="str">
        <x:v>770100</x:v>
      </x:c>
      <x:c r="B413" s="12" t="str">
        <x:v>Writers, editors, public relations specialists, artists, entertainers, broadcasters, and historiansd</x:v>
      </x:c>
      <x:c r="C413" s="35" t="str">
        <x:v>27-4021.00</x:v>
      </x:c>
      <x:c r="D413" s="12" t="str">
        <x:v>Photographers</x:v>
      </x:c>
      <x:c r="E413" s="2" t="str">
        <x:v>Include</x:v>
      </x:c>
      <x:c r="F413" s="2" t="str">
        <x:v>Yes</x:v>
      </x:c>
      <x:c r="G413" s="15" t="str">
        <x:v>6/6</x:v>
      </x:c>
      <x:c r="H413" s="18" t="n">
        <x:v>4.33</x:v>
      </x:c>
      <x:c r="I413" s="18" t="n">
        <x:v>3.5</x:v>
      </x:c>
      <x:c r="J413" s="18" t="n">
        <x:v>3.67</x:v>
      </x:c>
      <x:c r="K413" s="18" t="n">
        <x:v>4.67</x:v>
      </x:c>
      <x:c r="L413" s="18" t="n">
        <x:v>2.67</x:v>
      </x:c>
      <x:c r="M413" s="18" t="n">
        <x:v>5</x:v>
      </x:c>
      <x:c r="N413" s="12" t="str">
        <x:v>Photograph people, landscapes, merchandise, or other subjects. May use lighting equipment to enhance a subject's appearance. May use editing software to produce finished images and prints. Includes commercial and industrial photographers, scientific photographers, and photojournalists.</x:v>
      </x:c>
      <x:c r="O413" s="12" t="str">
        <x:v>https://www.onetonline.org/link/summary/27-4021.00</x:v>
      </x:c>
      <x:c r="P413" s="12" t="str">
        <x:v>SOC27 arts/design/entertainment/sports/media plus historians; a broad occupational background.</x:v>
      </x:c>
    </x:row>
    <x:row r="414" ht="37.5" customHeight="1">
      <x:c r="A414" s="15" t="str">
        <x:v>770100</x:v>
      </x:c>
      <x:c r="B414" s="12" t="str">
        <x:v>Writers, editors, public relations specialists, artists, entertainers, broadcasters, and historiansd</x:v>
      </x:c>
      <x:c r="C414" s="35" t="str">
        <x:v>27-4031.00</x:v>
      </x:c>
      <x:c r="D414" s="12" t="str">
        <x:v>Camera Operators, Television, Video, and Film</x:v>
      </x:c>
      <x:c r="E414" s="2" t="str">
        <x:v>Include</x:v>
      </x:c>
      <x:c r="F414" s="2" t="str">
        <x:v>Yes</x:v>
      </x:c>
      <x:c r="G414" s="15" t="str">
        <x:v>6/6</x:v>
      </x:c>
      <x:c r="H414" s="18" t="n">
        <x:v>3.67</x:v>
      </x:c>
      <x:c r="I414" s="18" t="n">
        <x:v>4</x:v>
      </x:c>
      <x:c r="J414" s="18" t="n">
        <x:v>4</x:v>
      </x:c>
      <x:c r="K414" s="18" t="n">
        <x:v>4.33</x:v>
      </x:c>
      <x:c r="L414" s="18" t="n">
        <x:v>4.67</x:v>
      </x:c>
      <x:c r="M414" s="18" t="n">
        <x:v>4.33</x:v>
      </x:c>
      <x:c r="N414" s="12" t="str">
        <x:v>Operate television, video, or film camera to record images or scenes for television, video, or film productions.</x:v>
      </x:c>
      <x:c r="O414" s="12" t="str">
        <x:v>https://www.onetonline.org/link/summary/27-4031.00</x:v>
      </x:c>
      <x:c r="P414" s="12" t="str">
        <x:v>SOC27 arts/design/entertainment/sports/media plus historians; a broad occupational background.</x:v>
      </x:c>
    </x:row>
    <x:row r="415" ht="37.5" customHeight="1">
      <x:c r="A415" s="15" t="str">
        <x:v>770100</x:v>
      </x:c>
      <x:c r="B415" s="12" t="str">
        <x:v>Writers, editors, public relations specialists, artists, entertainers, broadcasters, and historiansd</x:v>
      </x:c>
      <x:c r="C415" s="35" t="str">
        <x:v>27-4032.00</x:v>
      </x:c>
      <x:c r="D415" s="12" t="str">
        <x:v>Film and Video Editors</x:v>
      </x:c>
      <x:c r="E415" s="2" t="str">
        <x:v>Include</x:v>
      </x:c>
      <x:c r="F415" s="2" t="str">
        <x:v>Yes</x:v>
      </x:c>
      <x:c r="G415" s="15" t="str">
        <x:v>6/6</x:v>
      </x:c>
      <x:c r="H415" s="18" t="n">
        <x:v>5</x:v>
      </x:c>
      <x:c r="I415" s="18" t="n">
        <x:v>4.5</x:v>
      </x:c>
      <x:c r="J415" s="18" t="n">
        <x:v>5</x:v>
      </x:c>
      <x:c r="K415" s="18" t="n">
        <x:v>2.67</x:v>
      </x:c>
      <x:c r="L415" s="18" t="n">
        <x:v>2.67</x:v>
      </x:c>
      <x:c r="M415" s="18" t="n">
        <x:v>5.33</x:v>
      </x:c>
      <x:c r="N415" s="12" t="str">
        <x:v>Edit moving images on film, video, or other media. May work with a producer or director to organize images for final production. May edit or synchronize soundtracks with images.</x:v>
      </x:c>
      <x:c r="O415" s="12" t="str">
        <x:v>https://www.onetonline.org/link/summary/27-4032.00</x:v>
      </x:c>
      <x:c r="P415" s="12" t="str">
        <x:v>SOC27 arts/design/entertainment/sports/media plus historians; a broad occupational background.</x:v>
      </x:c>
    </x:row>
    <x:row r="416" ht="37.5" customHeight="1">
      <x:c r="A416" s="15" t="str">
        <x:v>770100</x:v>
      </x:c>
      <x:c r="B416" s="12" t="str">
        <x:v>Writers, editors, public relations specialists, artists, entertainers, broadcasters, and historiansd</x:v>
      </x:c>
      <x:c r="C416" s="35" t="str">
        <x:v>27-4099.00</x:v>
      </x:c>
      <x:c r="D416" s="12" t="str">
        <x:v>Media and Communication Equipment Workers, All Other</x:v>
      </x:c>
      <x:c r="E416" s="2" t="str">
        <x:v>Exclude (no Work Values)</x:v>
      </x:c>
      <x:c r="F416" s="2" t="str">
        <x:v>Yes</x:v>
      </x:c>
      <x:c r="G416" s="15" t="str">
        <x:v>0/6</x:v>
      </x:c>
      <x:c r="H416" s="18"/>
      <x:c r="I416" s="18"/>
      <x:c r="J416" s="18"/>
      <x:c r="K416" s="18"/>
      <x:c r="L416" s="18"/>
      <x:c r="M416" s="18"/>
      <x:c r="N416" s="12" t="str">
        <x:v>All media and communication equipment workers not listed separately.</x:v>
      </x:c>
      <x:c r="O416" s="12" t="str">
        <x:v>https://www.onetonline.org/link/summary/27-4099.00</x:v>
      </x:c>
      <x:c r="P416" s="12" t="str">
        <x:v>SOC27 arts/design/entertainment/sports/media plus historians; a broad occupational background.</x:v>
      </x:c>
    </x:row>
    <x:row r="417" ht="36" customHeight="1">
      <x:c r="A417" s="15" t="str">
        <x:v>780310</x:v>
      </x:c>
      <x:c r="B417" s="12" t="str">
        <x:v>Bookkeeping, accounting, and auditing clerks</x:v>
      </x:c>
      <x:c r="C417" s="35" t="str">
        <x:v>43-3031.00</x:v>
      </x:c>
      <x:c r="D417" s="12" t="str">
        <x:v>Bookkeeping, Accounting, and Auditing Clerks</x:v>
      </x:c>
      <x:c r="E417" s="2" t="str">
        <x:v>Include</x:v>
      </x:c>
      <x:c r="F417" s="2" t="str">
        <x:v>Yes</x:v>
      </x:c>
      <x:c r="G417" s="15" t="str">
        <x:v>6/6</x:v>
      </x:c>
      <x:c r="H417" s="18" t="n">
        <x:v>3.67</x:v>
      </x:c>
      <x:c r="I417" s="18" t="n">
        <x:v>3.67</x:v>
      </x:c>
      <x:c r="J417" s="18" t="n">
        <x:v>3</x:v>
      </x:c>
      <x:c r="K417" s="18" t="n">
        <x:v>4.67</x:v>
      </x:c>
      <x:c r="L417" s="18" t="n">
        <x:v>5</x:v>
      </x:c>
      <x:c r="M417" s="18" t="n">
        <x:v>3.67</x:v>
      </x:c>
      <x:c r="N417" s="12" t="str">
        <x:v>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x:v>
      </x:c>
      <x:c r="O417" s="12" t="str">
        <x:v>https://www.onetonline.org/link/summary/43-3031.00</x:v>
      </x:c>
      <x:c r="P417" s="12" t="str">
        <x:v>Require SUPWK=N; exclude 77 respondents who do not meet this condition.</x:v>
      </x:c>
    </x:row>
    <x:row r="418" ht="36" customHeight="1">
      <x:c r="A418" s="15" t="str">
        <x:v>780320</x:v>
      </x:c>
      <x:c r="B418" s="12" t="str">
        <x:v>Secretaries and administrative assistants, and receptionists</x:v>
      </x:c>
      <x:c r="C418" s="35" t="str">
        <x:v>43-4171.00</x:v>
      </x:c>
      <x:c r="D418" s="12" t="str">
        <x:v>Receptionists and Information Clerks</x:v>
      </x:c>
      <x:c r="E418" s="2" t="str">
        <x:v>Include</x:v>
      </x:c>
      <x:c r="F418" s="2" t="str">
        <x:v>Yes</x:v>
      </x:c>
      <x:c r="G418" s="15" t="str">
        <x:v>6/6</x:v>
      </x:c>
      <x:c r="H418" s="18" t="n">
        <x:v>3</x:v>
      </x:c>
      <x:c r="I418" s="18" t="n">
        <x:v>2.67</x:v>
      </x:c>
      <x:c r="J418" s="18" t="n">
        <x:v>2.33</x:v>
      </x:c>
      <x:c r="K418" s="18" t="n">
        <x:v>5.67</x:v>
      </x:c>
      <x:c r="L418" s="18" t="n">
        <x:v>4</x:v>
      </x:c>
      <x:c r="M418" s="18" t="n">
        <x:v>3</x:v>
      </x:c>
      <x:c r="N418" s="12" t="str">
        <x:v>Answer inquiries and provide information to the general public, customers, visitors, and other interested parties regarding activities conducted at establishment and location of departments, offices, and employees within the organization.</x:v>
      </x:c>
      <x:c r="O418" s="12" t="str">
        <x:v>https://www.onetonline.org/link/summary/43-4171.00</x:v>
      </x:c>
      <x:c r="P418" s="12" t="str">
        <x:v>Four secretary/administrative-assistant occupations plus receptionists.</x:v>
      </x:c>
    </x:row>
    <x:row r="419" ht="36" customHeight="1">
      <x:c r="A419" s="15" t="str">
        <x:v>780320</x:v>
      </x:c>
      <x:c r="B419" s="12" t="str">
        <x:v>Secretaries and administrative assistants, and receptionists</x:v>
      </x:c>
      <x:c r="C419" s="35" t="str">
        <x:v>43-6011.00</x:v>
      </x:c>
      <x:c r="D419" s="12" t="str">
        <x:v>Executive Secretaries and Executive Administrative Assistants</x:v>
      </x:c>
      <x:c r="E419" s="2" t="str">
        <x:v>Include</x:v>
      </x:c>
      <x:c r="F419" s="2" t="str">
        <x:v>Yes</x:v>
      </x:c>
      <x:c r="G419" s="15" t="str">
        <x:v>6/6</x:v>
      </x:c>
      <x:c r="H419" s="18" t="n">
        <x:v>3.67</x:v>
      </x:c>
      <x:c r="I419" s="18" t="n">
        <x:v>3.83</x:v>
      </x:c>
      <x:c r="J419" s="18" t="n">
        <x:v>3</x:v>
      </x:c>
      <x:c r="K419" s="18" t="n">
        <x:v>5.33</x:v>
      </x:c>
      <x:c r="L419" s="18" t="n">
        <x:v>5</x:v>
      </x:c>
      <x:c r="M419" s="18" t="n">
        <x:v>3.33</x:v>
      </x:c>
      <x:c r="N419" s="12" t="str">
        <x:v>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x:v>
      </x:c>
      <x:c r="O419" s="12" t="str">
        <x:v>https://www.onetonline.org/link/summary/43-6011.00</x:v>
      </x:c>
      <x:c r="P419" s="12" t="str">
        <x:v>Four secretary/administrative-assistant occupations plus receptionists.</x:v>
      </x:c>
    </x:row>
    <x:row r="420" ht="36" customHeight="1">
      <x:c r="A420" s="15" t="str">
        <x:v>780320</x:v>
      </x:c>
      <x:c r="B420" s="12" t="str">
        <x:v>Secretaries and administrative assistants, and receptionists</x:v>
      </x:c>
      <x:c r="C420" s="35" t="str">
        <x:v>43-6012.00</x:v>
      </x:c>
      <x:c r="D420" s="12" t="str">
        <x:v>Legal Secretaries and Administrative Assistants</x:v>
      </x:c>
      <x:c r="E420" s="2" t="str">
        <x:v>Include</x:v>
      </x:c>
      <x:c r="F420" s="2" t="str">
        <x:v>Yes</x:v>
      </x:c>
      <x:c r="G420" s="15" t="str">
        <x:v>6/6</x:v>
      </x:c>
      <x:c r="H420" s="18" t="n">
        <x:v>3</x:v>
      </x:c>
      <x:c r="I420" s="18" t="n">
        <x:v>3.33</x:v>
      </x:c>
      <x:c r="J420" s="18" t="n">
        <x:v>3</x:v>
      </x:c>
      <x:c r="K420" s="18" t="n">
        <x:v>5</x:v>
      </x:c>
      <x:c r="L420" s="18" t="n">
        <x:v>5</x:v>
      </x:c>
      <x:c r="M420" s="18" t="n">
        <x:v>3</x:v>
      </x:c>
      <x:c r="N420" s="12" t="str">
        <x:v>Perform secretarial duties using legal terminology, procedures, and documents. Prepare legal papers and correspondence, such as summonses, complaints, motions, and subpoenas. May also assist with legal research.</x:v>
      </x:c>
      <x:c r="O420" s="12" t="str">
        <x:v>https://www.onetonline.org/link/summary/43-6012.00</x:v>
      </x:c>
      <x:c r="P420" s="12" t="str">
        <x:v>Four secretary/administrative-assistant occupations plus receptionists.</x:v>
      </x:c>
    </x:row>
    <x:row r="421" ht="36" customHeight="1">
      <x:c r="A421" s="15" t="str">
        <x:v>780320</x:v>
      </x:c>
      <x:c r="B421" s="12" t="str">
        <x:v>Secretaries and administrative assistants, and receptionists</x:v>
      </x:c>
      <x:c r="C421" s="35" t="str">
        <x:v>43-6013.00</x:v>
      </x:c>
      <x:c r="D421" s="12" t="str">
        <x:v>Medical Secretaries and Administrative Assistants</x:v>
      </x:c>
      <x:c r="E421" s="2" t="str">
        <x:v>Include</x:v>
      </x:c>
      <x:c r="F421" s="2" t="str">
        <x:v>Yes</x:v>
      </x:c>
      <x:c r="G421" s="15" t="str">
        <x:v>6/6</x:v>
      </x:c>
      <x:c r="H421" s="18" t="n">
        <x:v>3.33</x:v>
      </x:c>
      <x:c r="I421" s="18" t="n">
        <x:v>3.5</x:v>
      </x:c>
      <x:c r="J421" s="18" t="n">
        <x:v>3</x:v>
      </x:c>
      <x:c r="K421" s="18" t="n">
        <x:v>5.33</x:v>
      </x:c>
      <x:c r="L421" s="18" t="n">
        <x:v>4.33</x:v>
      </x:c>
      <x:c r="M421" s="18" t="n">
        <x:v>3</x:v>
      </x:c>
      <x:c r="N421" s="12" t="str">
        <x:v>Perform secretarial duties using specific knowledge of medical terminology and hospital, clinic, or laboratory procedures. Duties may include scheduling appointments, billing patients, and compiling and recording medical charts, reports, and correspondence.</x:v>
      </x:c>
      <x:c r="O421" s="12" t="str">
        <x:v>https://www.onetonline.org/link/summary/43-6013.00</x:v>
      </x:c>
      <x:c r="P421" s="12" t="str">
        <x:v>Four secretary/administrative-assistant occupations plus receptionists.</x:v>
      </x:c>
    </x:row>
    <x:row r="422" ht="37.5" customHeight="1">
      <x:c r="A422" s="15" t="str">
        <x:v>780320</x:v>
      </x:c>
      <x:c r="B422" s="12" t="str">
        <x:v>Secretaries and administrative assistants, and receptionists</x:v>
      </x:c>
      <x:c r="C422" s="35" t="str">
        <x:v>43-6014.00</x:v>
      </x:c>
      <x:c r="D422" s="12" t="str">
        <x:v>Secretaries and Administrative Assistants, Except Legal, Medical, and Executive</x:v>
      </x:c>
      <x:c r="E422" s="2" t="str">
        <x:v>Include</x:v>
      </x:c>
      <x:c r="F422" s="2" t="str">
        <x:v>Yes</x:v>
      </x:c>
      <x:c r="G422" s="15" t="str">
        <x:v>6/6</x:v>
      </x:c>
      <x:c r="H422" s="18" t="n">
        <x:v>3.33</x:v>
      </x:c>
      <x:c r="I422" s="18" t="n">
        <x:v>3.83</x:v>
      </x:c>
      <x:c r="J422" s="18" t="n">
        <x:v>2.67</x:v>
      </x:c>
      <x:c r="K422" s="18" t="n">
        <x:v>4.67</x:v>
      </x:c>
      <x:c r="L422" s="18" t="n">
        <x:v>5</x:v>
      </x:c>
      <x:c r="M422" s="18" t="n">
        <x:v>2.67</x:v>
      </x:c>
      <x:c r="N422" s="12" t="str">
        <x:v>Perform routine administrative functions such as drafting correspondence, scheduling appointments, organizing and maintaining paper and electronic files, or providing information to callers.</x:v>
      </x:c>
      <x:c r="O422" s="12" t="str">
        <x:v>https://www.onetonline.org/link/summary/43-6014.00</x:v>
      </x:c>
      <x:c r="P422" s="12" t="str">
        <x:v>Four secretary/administrative-assistant occupations plus receptionists.</x:v>
      </x:c>
    </x:row>
    <x:row r="423" ht="50.25" customHeight="1">
      <x:c r="A423" s="15" t="str">
        <x:v>780330</x:v>
      </x:c>
      <x:c r="B423" s="12" t="str">
        <x:v>Other office and administrative support workers</x:v>
      </x:c>
      <x:c r="C423" s="35" t="str">
        <x:v>43-1011.00</x:v>
      </x:c>
      <x:c r="D423" s="12" t="str">
        <x:v>First-Line Supervisors of Office and Administrative Support Workers</x:v>
      </x:c>
      <x:c r="E423" s="2" t="str">
        <x:v>Include</x:v>
      </x:c>
      <x:c r="F423" s="2" t="str">
        <x:v>Yes</x:v>
      </x:c>
      <x:c r="G423" s="15" t="str">
        <x:v>6/6</x:v>
      </x:c>
      <x:c r="H423" s="18" t="n">
        <x:v>4.33</x:v>
      </x:c>
      <x:c r="I423" s="18" t="n">
        <x:v>4.83</x:v>
      </x:c>
      <x:c r="J423" s="18" t="n">
        <x:v>4.33</x:v>
      </x:c>
      <x:c r="K423" s="18" t="n">
        <x:v>5.33</x:v>
      </x:c>
      <x:c r="L423" s="18" t="n">
        <x:v>5.67</x:v>
      </x:c>
      <x:c r="M423" s="18" t="n">
        <x:v>5.33</x:v>
      </x:c>
      <x:c r="N423" s="12" t="str">
        <x:v>Directly supervise and coordinate the activities of clerical and administrative support workers.</x:v>
      </x:c>
      <x:c r="O423" s="12" t="str">
        <x:v>https://www.onetonline.org/link/summary/43-1011.00</x:v>
      </x:c>
      <x:c r="P423" s="12" t="str">
        <x:v>SOC43 minus bookkeeping, secretaries/administrative assistants and receptionists; office supervisors remain included.</x:v>
      </x:c>
    </x:row>
    <x:row r="424" ht="50.25" customHeight="1">
      <x:c r="A424" s="15" t="str">
        <x:v>780330</x:v>
      </x:c>
      <x:c r="B424" s="12" t="str">
        <x:v>Other office and administrative support workers</x:v>
      </x:c>
      <x:c r="C424" s="35" t="str">
        <x:v>43-2011.00</x:v>
      </x:c>
      <x:c r="D424" s="12" t="str">
        <x:v>Switchboard Operators, Including Answering Service</x:v>
      </x:c>
      <x:c r="E424" s="2" t="str">
        <x:v>Include</x:v>
      </x:c>
      <x:c r="F424" s="2" t="str">
        <x:v>Yes</x:v>
      </x:c>
      <x:c r="G424" s="15" t="str">
        <x:v>6/6</x:v>
      </x:c>
      <x:c r="H424" s="18" t="n">
        <x:v>2.33</x:v>
      </x:c>
      <x:c r="I424" s="18" t="n">
        <x:v>3.17</x:v>
      </x:c>
      <x:c r="J424" s="18" t="n">
        <x:v>2.33</x:v>
      </x:c>
      <x:c r="K424" s="18" t="n">
        <x:v>5.67</x:v>
      </x:c>
      <x:c r="L424" s="18" t="n">
        <x:v>4.67</x:v>
      </x:c>
      <x:c r="M424" s="18" t="n">
        <x:v>4</x:v>
      </x:c>
      <x:c r="N424" s="12" t="str">
        <x:v>Operate telephone business systems equipment or switchboards to relay incoming, outgoing, and interoffice calls. May supply information to callers and record messages.</x:v>
      </x:c>
      <x:c r="O424" s="12" t="str">
        <x:v>https://www.onetonline.org/link/summary/43-2011.00</x:v>
      </x:c>
      <x:c r="P424" s="12" t="str">
        <x:v>SOC43 minus bookkeeping, secretaries/administrative assistants and receptionists; office supervisors remain included.</x:v>
      </x:c>
    </x:row>
    <x:row r="425" ht="50.25" customHeight="1">
      <x:c r="A425" s="15" t="str">
        <x:v>780330</x:v>
      </x:c>
      <x:c r="B425" s="12" t="str">
        <x:v>Other office and administrative support workers</x:v>
      </x:c>
      <x:c r="C425" s="35" t="str">
        <x:v>43-2021.00</x:v>
      </x:c>
      <x:c r="D425" s="12" t="str">
        <x:v>Telephone Operators</x:v>
      </x:c>
      <x:c r="E425" s="2" t="str">
        <x:v>Include</x:v>
      </x:c>
      <x:c r="F425" s="2" t="str">
        <x:v>Yes</x:v>
      </x:c>
      <x:c r="G425" s="15" t="str">
        <x:v>6/6</x:v>
      </x:c>
      <x:c r="H425" s="18" t="n">
        <x:v>2.67</x:v>
      </x:c>
      <x:c r="I425" s="18" t="n">
        <x:v>2.67</x:v>
      </x:c>
      <x:c r="J425" s="18" t="n">
        <x:v>2.67</x:v>
      </x:c>
      <x:c r="K425" s="18" t="n">
        <x:v>5.33</x:v>
      </x:c>
      <x:c r="L425" s="18" t="n">
        <x:v>4</x:v>
      </x:c>
      <x:c r="M425" s="18" t="n">
        <x:v>3</x:v>
      </x:c>
      <x:c r="N425" s="12" t="str">
        <x:v>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x:v>
      </x:c>
      <x:c r="O425" s="12" t="str">
        <x:v>https://www.onetonline.org/link/summary/43-2021.00</x:v>
      </x:c>
      <x:c r="P425" s="12" t="str">
        <x:v>SOC43 minus bookkeeping, secretaries/administrative assistants and receptionists; office supervisors remain included.</x:v>
      </x:c>
    </x:row>
    <x:row r="426" ht="50.25" customHeight="1">
      <x:c r="A426" s="15" t="str">
        <x:v>780330</x:v>
      </x:c>
      <x:c r="B426" s="12" t="str">
        <x:v>Other office and administrative support workers</x:v>
      </x:c>
      <x:c r="C426" s="35" t="str">
        <x:v>43-2099.00</x:v>
      </x:c>
      <x:c r="D426" s="12" t="str">
        <x:v>Communications Equipment Operators, All Other</x:v>
      </x:c>
      <x:c r="E426" s="2" t="str">
        <x:v>Exclude (no Work Values)</x:v>
      </x:c>
      <x:c r="F426" s="2" t="str">
        <x:v>Yes</x:v>
      </x:c>
      <x:c r="G426" s="15" t="str">
        <x:v>0/6</x:v>
      </x:c>
      <x:c r="H426" s="18"/>
      <x:c r="I426" s="18"/>
      <x:c r="J426" s="18"/>
      <x:c r="K426" s="18"/>
      <x:c r="L426" s="18"/>
      <x:c r="M426" s="18"/>
      <x:c r="N426" s="12" t="str">
        <x:v>All communications equipment operators not listed separately.</x:v>
      </x:c>
      <x:c r="O426" s="12" t="str">
        <x:v>https://www.onetonline.org/link/summary/43-2099.00</x:v>
      </x:c>
      <x:c r="P426" s="12" t="str">
        <x:v>SOC43 minus bookkeeping, secretaries/administrative assistants and receptionists; office supervisors remain included.</x:v>
      </x:c>
    </x:row>
    <x:row r="427" ht="50.25" customHeight="1">
      <x:c r="A427" s="15" t="str">
        <x:v>780330</x:v>
      </x:c>
      <x:c r="B427" s="12" t="str">
        <x:v>Other office and administrative support workers</x:v>
      </x:c>
      <x:c r="C427" s="35" t="str">
        <x:v>43-3011.00</x:v>
      </x:c>
      <x:c r="D427" s="12" t="str">
        <x:v>Bill and Account Collectors</x:v>
      </x:c>
      <x:c r="E427" s="2" t="str">
        <x:v>Include</x:v>
      </x:c>
      <x:c r="F427" s="2" t="str">
        <x:v>Yes</x:v>
      </x:c>
      <x:c r="G427" s="15" t="str">
        <x:v>6/6</x:v>
      </x:c>
      <x:c r="H427" s="18" t="n">
        <x:v>3.33</x:v>
      </x:c>
      <x:c r="I427" s="18" t="n">
        <x:v>3</x:v>
      </x:c>
      <x:c r="J427" s="18" t="n">
        <x:v>2.33</x:v>
      </x:c>
      <x:c r="K427" s="18" t="n">
        <x:v>4.33</x:v>
      </x:c>
      <x:c r="L427" s="18" t="n">
        <x:v>4</x:v>
      </x:c>
      <x:c r="M427" s="18" t="n">
        <x:v>3</x:v>
      </x:c>
      <x:c r="N427" s="12" t="str">
        <x:v>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x:v>
      </x:c>
      <x:c r="O427" s="12" t="str">
        <x:v>https://www.onetonline.org/link/summary/43-3011.00</x:v>
      </x:c>
      <x:c r="P427" s="12" t="str">
        <x:v>SOC43 minus bookkeeping, secretaries/administrative assistants and receptionists; office supervisors remain included.</x:v>
      </x:c>
    </x:row>
    <x:row r="428" ht="50.25" customHeight="1">
      <x:c r="A428" s="15" t="str">
        <x:v>780330</x:v>
      </x:c>
      <x:c r="B428" s="12" t="str">
        <x:v>Other office and administrative support workers</x:v>
      </x:c>
      <x:c r="C428" s="35" t="str">
        <x:v>43-3021.00</x:v>
      </x:c>
      <x:c r="D428" s="12" t="str">
        <x:v>Billing and Posting Clerks</x:v>
      </x:c>
      <x:c r="E428" s="2" t="str">
        <x:v>Include</x:v>
      </x:c>
      <x:c r="F428" s="2" t="str">
        <x:v>Yes</x:v>
      </x:c>
      <x:c r="G428" s="15" t="str">
        <x:v>6/6</x:v>
      </x:c>
      <x:c r="H428" s="18" t="n">
        <x:v>2.67</x:v>
      </x:c>
      <x:c r="I428" s="18" t="n">
        <x:v>3.08</x:v>
      </x:c>
      <x:c r="J428" s="18" t="n">
        <x:v>2.67</x:v>
      </x:c>
      <x:c r="K428" s="18" t="n">
        <x:v>4.5</x:v>
      </x:c>
      <x:c r="L428" s="18" t="n">
        <x:v>4.5</x:v>
      </x:c>
      <x:c r="M428" s="18" t="n">
        <x:v>4</x:v>
      </x:c>
      <x:c r="N428" s="12" t="str">
        <x:v>Compile, compute, and record billing, accounting, statistical, and other numerical data for billing purposes. Prepare billing invoices for services rendered or for delivery or shipment of goods.</x:v>
      </x:c>
      <x:c r="O428" s="12" t="str">
        <x:v>https://www.onetonline.org/link/summary/43-3021.00</x:v>
      </x:c>
      <x:c r="P428" s="12" t="str">
        <x:v>SOC43 minus bookkeeping, secretaries/administrative assistants and receptionists; office supervisors remain included.</x:v>
      </x:c>
    </x:row>
    <x:row r="429" ht="50.25" customHeight="1">
      <x:c r="A429" s="15" t="str">
        <x:v>780330</x:v>
      </x:c>
      <x:c r="B429" s="12" t="str">
        <x:v>Other office and administrative support workers</x:v>
      </x:c>
      <x:c r="C429" s="35" t="str">
        <x:v>43-3041.00</x:v>
      </x:c>
      <x:c r="D429" s="12" t="str">
        <x:v>Gambling Cage Workers</x:v>
      </x:c>
      <x:c r="E429" s="2" t="str">
        <x:v>Include</x:v>
      </x:c>
      <x:c r="F429" s="2" t="str">
        <x:v>Yes</x:v>
      </x:c>
      <x:c r="G429" s="15" t="str">
        <x:v>6/6</x:v>
      </x:c>
      <x:c r="H429" s="18" t="n">
        <x:v>2.67</x:v>
      </x:c>
      <x:c r="I429" s="18" t="n">
        <x:v>2.67</x:v>
      </x:c>
      <x:c r="J429" s="18" t="n">
        <x:v>2</x:v>
      </x:c>
      <x:c r="K429" s="18" t="n">
        <x:v>4.67</x:v>
      </x:c>
      <x:c r="L429" s="18" t="n">
        <x:v>4.33</x:v>
      </x:c>
      <x:c r="M429" s="18" t="n">
        <x:v>3</x:v>
      </x:c>
      <x:c r="N429" s="12" t="str">
        <x:v>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x:v>
      </x:c>
      <x:c r="O429" s="12" t="str">
        <x:v>https://www.onetonline.org/link/summary/43-3041.00</x:v>
      </x:c>
      <x:c r="P429" s="12" t="str">
        <x:v>SOC43 minus bookkeeping, secretaries/administrative assistants and receptionists; office supervisors remain included.</x:v>
      </x:c>
    </x:row>
    <x:row r="430" ht="50.25" customHeight="1">
      <x:c r="A430" s="15" t="str">
        <x:v>780330</x:v>
      </x:c>
      <x:c r="B430" s="12" t="str">
        <x:v>Other office and administrative support workers</x:v>
      </x:c>
      <x:c r="C430" s="35" t="str">
        <x:v>43-3051.00</x:v>
      </x:c>
      <x:c r="D430" s="12" t="str">
        <x:v>Payroll and Timekeeping Clerks</x:v>
      </x:c>
      <x:c r="E430" s="2" t="str">
        <x:v>Include</x:v>
      </x:c>
      <x:c r="F430" s="2" t="str">
        <x:v>Yes</x:v>
      </x:c>
      <x:c r="G430" s="15" t="str">
        <x:v>6/6</x:v>
      </x:c>
      <x:c r="H430" s="18" t="n">
        <x:v>3.33</x:v>
      </x:c>
      <x:c r="I430" s="18" t="n">
        <x:v>3.33</x:v>
      </x:c>
      <x:c r="J430" s="18" t="n">
        <x:v>3</x:v>
      </x:c>
      <x:c r="K430" s="18" t="n">
        <x:v>5</x:v>
      </x:c>
      <x:c r="L430" s="18" t="n">
        <x:v>4.33</x:v>
      </x:c>
      <x:c r="M430" s="18" t="n">
        <x:v>3.33</x:v>
      </x:c>
      <x:c r="N430" s="12" t="str">
        <x:v>Compile and record employee time and payroll data. May compute employees' time worked, production, and commission. May compute and post wages and deductions, or prepare paychecks.</x:v>
      </x:c>
      <x:c r="O430" s="12" t="str">
        <x:v>https://www.onetonline.org/link/summary/43-3051.00</x:v>
      </x:c>
      <x:c r="P430" s="12" t="str">
        <x:v>SOC43 minus bookkeeping, secretaries/administrative assistants and receptionists; office supervisors remain included.</x:v>
      </x:c>
    </x:row>
    <x:row r="431" ht="50.25" customHeight="1">
      <x:c r="A431" s="15" t="str">
        <x:v>780330</x:v>
      </x:c>
      <x:c r="B431" s="12" t="str">
        <x:v>Other office and administrative support workers</x:v>
      </x:c>
      <x:c r="C431" s="35" t="str">
        <x:v>43-3061.00</x:v>
      </x:c>
      <x:c r="D431" s="12" t="str">
        <x:v>Procurement Clerks</x:v>
      </x:c>
      <x:c r="E431" s="2" t="str">
        <x:v>Include</x:v>
      </x:c>
      <x:c r="F431" s="2" t="str">
        <x:v>Yes</x:v>
      </x:c>
      <x:c r="G431" s="15" t="str">
        <x:v>6/6</x:v>
      </x:c>
      <x:c r="H431" s="18" t="n">
        <x:v>3.67</x:v>
      </x:c>
      <x:c r="I431" s="18" t="n">
        <x:v>3.33</x:v>
      </x:c>
      <x:c r="J431" s="18" t="n">
        <x:v>3.33</x:v>
      </x:c>
      <x:c r="K431" s="18" t="n">
        <x:v>4.33</x:v>
      </x:c>
      <x:c r="L431" s="18" t="n">
        <x:v>4</x:v>
      </x:c>
      <x:c r="M431" s="18" t="n">
        <x:v>4.33</x:v>
      </x:c>
      <x:c r="N431" s="12" t="str">
        <x:v>Compile information and records to draw up purchase orders for procurement of materials and services.</x:v>
      </x:c>
      <x:c r="O431" s="12" t="str">
        <x:v>https://www.onetonline.org/link/summary/43-3061.00</x:v>
      </x:c>
      <x:c r="P431" s="12" t="str">
        <x:v>SOC43 minus bookkeeping, secretaries/administrative assistants and receptionists; office supervisors remain included.</x:v>
      </x:c>
    </x:row>
    <x:row r="432" ht="50.25" customHeight="1">
      <x:c r="A432" s="15" t="str">
        <x:v>780330</x:v>
      </x:c>
      <x:c r="B432" s="12" t="str">
        <x:v>Other office and administrative support workers</x:v>
      </x:c>
      <x:c r="C432" s="35" t="str">
        <x:v>43-3071.00</x:v>
      </x:c>
      <x:c r="D432" s="12" t="str">
        <x:v>Tellers</x:v>
      </x:c>
      <x:c r="E432" s="2" t="str">
        <x:v>Include</x:v>
      </x:c>
      <x:c r="F432" s="2" t="str">
        <x:v>Yes</x:v>
      </x:c>
      <x:c r="G432" s="15" t="str">
        <x:v>6/6</x:v>
      </x:c>
      <x:c r="H432" s="18" t="n">
        <x:v>3</x:v>
      </x:c>
      <x:c r="I432" s="18" t="n">
        <x:v>3.33</x:v>
      </x:c>
      <x:c r="J432" s="18" t="n">
        <x:v>2.33</x:v>
      </x:c>
      <x:c r="K432" s="18" t="n">
        <x:v>6</x:v>
      </x:c>
      <x:c r="L432" s="18" t="n">
        <x:v>5</x:v>
      </x:c>
      <x:c r="M432" s="18" t="n">
        <x:v>3.67</x:v>
      </x:c>
      <x:c r="N432" s="12" t="str">
        <x:v>Receive and pay out money. Keep records of money and negotiable instruments involved in a financial institution's various transactions.</x:v>
      </x:c>
      <x:c r="O432" s="12" t="str">
        <x:v>https://www.onetonline.org/link/summary/43-3071.00</x:v>
      </x:c>
      <x:c r="P432" s="12" t="str">
        <x:v>SOC43 minus bookkeeping, secretaries/administrative assistants and receptionists; office supervisors remain included.</x:v>
      </x:c>
    </x:row>
    <x:row r="433" ht="50.25" customHeight="1">
      <x:c r="A433" s="15" t="str">
        <x:v>780330</x:v>
      </x:c>
      <x:c r="B433" s="12" t="str">
        <x:v>Other office and administrative support workers</x:v>
      </x:c>
      <x:c r="C433" s="35" t="str">
        <x:v>43-3099.00</x:v>
      </x:c>
      <x:c r="D433" s="12" t="str">
        <x:v>Financial Clerks, All Other</x:v>
      </x:c>
      <x:c r="E433" s="2" t="str">
        <x:v>Exclude (no Work Values)</x:v>
      </x:c>
      <x:c r="F433" s="2" t="str">
        <x:v>Yes</x:v>
      </x:c>
      <x:c r="G433" s="15" t="str">
        <x:v>0/6</x:v>
      </x:c>
      <x:c r="H433" s="18"/>
      <x:c r="I433" s="18"/>
      <x:c r="J433" s="18"/>
      <x:c r="K433" s="18"/>
      <x:c r="L433" s="18"/>
      <x:c r="M433" s="18"/>
      <x:c r="N433" s="12" t="str">
        <x:v>All financial clerks not listed separately.</x:v>
      </x:c>
      <x:c r="O433" s="12" t="str">
        <x:v>https://www.onetonline.org/link/summary/43-3099.00</x:v>
      </x:c>
      <x:c r="P433" s="12" t="str">
        <x:v>SOC43 minus bookkeeping, secretaries/administrative assistants and receptionists; office supervisors remain included.</x:v>
      </x:c>
    </x:row>
    <x:row r="434" ht="50.25" customHeight="1">
      <x:c r="A434" s="15" t="str">
        <x:v>780330</x:v>
      </x:c>
      <x:c r="B434" s="12" t="str">
        <x:v>Other office and administrative support workers</x:v>
      </x:c>
      <x:c r="C434" s="35" t="str">
        <x:v>43-4011.00</x:v>
      </x:c>
      <x:c r="D434" s="12" t="str">
        <x:v>Brokerage Clerks</x:v>
      </x:c>
      <x:c r="E434" s="2" t="str">
        <x:v>Include</x:v>
      </x:c>
      <x:c r="F434" s="2" t="str">
        <x:v>Yes</x:v>
      </x:c>
      <x:c r="G434" s="15" t="str">
        <x:v>6/6</x:v>
      </x:c>
      <x:c r="H434" s="18" t="n">
        <x:v>4</x:v>
      </x:c>
      <x:c r="I434" s="18" t="n">
        <x:v>4.17</x:v>
      </x:c>
      <x:c r="J434" s="18" t="n">
        <x:v>3.33</x:v>
      </x:c>
      <x:c r="K434" s="18" t="n">
        <x:v>5.33</x:v>
      </x:c>
      <x:c r="L434" s="18" t="n">
        <x:v>5</x:v>
      </x:c>
      <x:c r="M434" s="18" t="n">
        <x:v>4.33</x:v>
      </x:c>
      <x:c r="N434" s="12" t="str">
        <x:v>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x:v>
      </x:c>
      <x:c r="O434" s="12" t="str">
        <x:v>https://www.onetonline.org/link/summary/43-4011.00</x:v>
      </x:c>
      <x:c r="P434" s="12" t="str">
        <x:v>SOC43 minus bookkeeping, secretaries/administrative assistants and receptionists; office supervisors remain included.</x:v>
      </x:c>
    </x:row>
    <x:row r="435" ht="50.25" customHeight="1">
      <x:c r="A435" s="15" t="str">
        <x:v>780330</x:v>
      </x:c>
      <x:c r="B435" s="12" t="str">
        <x:v>Other office and administrative support workers</x:v>
      </x:c>
      <x:c r="C435" s="35" t="str">
        <x:v>43-4021.00</x:v>
      </x:c>
      <x:c r="D435" s="12" t="str">
        <x:v>Correspondence Clerks</x:v>
      </x:c>
      <x:c r="E435" s="2" t="str">
        <x:v>Include</x:v>
      </x:c>
      <x:c r="F435" s="2" t="str">
        <x:v>Yes</x:v>
      </x:c>
      <x:c r="G435" s="15" t="str">
        <x:v>6/6</x:v>
      </x:c>
      <x:c r="H435" s="18" t="n">
        <x:v>2.33</x:v>
      </x:c>
      <x:c r="I435" s="18" t="n">
        <x:v>2.83</x:v>
      </x:c>
      <x:c r="J435" s="18" t="n">
        <x:v>2.67</x:v>
      </x:c>
      <x:c r="K435" s="18" t="n">
        <x:v>4.33</x:v>
      </x:c>
      <x:c r="L435" s="18" t="n">
        <x:v>4</x:v>
      </x:c>
      <x:c r="M435" s="18" t="n">
        <x:v>4</x:v>
      </x:c>
      <x:c r="N435" s="12" t="str">
        <x:v>Compose letters or electronic correspondence in reply to requests for merchandise, damage claims, credit and other information, delinquent accounts, incorrect billings, or unsatisfactory services. Duties may include gathering data to formulate reply and preparing correspondence.</x:v>
      </x:c>
      <x:c r="O435" s="12" t="str">
        <x:v>https://www.onetonline.org/link/summary/43-4021.00</x:v>
      </x:c>
      <x:c r="P435" s="12" t="str">
        <x:v>SOC43 minus bookkeeping, secretaries/administrative assistants and receptionists; office supervisors remain included.</x:v>
      </x:c>
    </x:row>
    <x:row r="436" ht="50.25" customHeight="1">
      <x:c r="A436" s="15" t="str">
        <x:v>780330</x:v>
      </x:c>
      <x:c r="B436" s="12" t="str">
        <x:v>Other office and administrative support workers</x:v>
      </x:c>
      <x:c r="C436" s="35" t="str">
        <x:v>43-4031.00</x:v>
      </x:c>
      <x:c r="D436" s="12" t="str">
        <x:v>Court, Municipal, and License Clerks</x:v>
      </x:c>
      <x:c r="E436" s="2" t="str">
        <x:v>Include</x:v>
      </x:c>
      <x:c r="F436" s="2" t="str">
        <x:v>Yes</x:v>
      </x:c>
      <x:c r="G436" s="15" t="str">
        <x:v>6/6</x:v>
      </x:c>
      <x:c r="H436" s="18" t="n">
        <x:v>3</x:v>
      </x:c>
      <x:c r="I436" s="18" t="n">
        <x:v>3.61</x:v>
      </x:c>
      <x:c r="J436" s="18" t="n">
        <x:v>3</x:v>
      </x:c>
      <x:c r="K436" s="18" t="n">
        <x:v>4.89</x:v>
      </x:c>
      <x:c r="L436" s="18" t="n">
        <x:v>3.78</x:v>
      </x:c>
      <x:c r="M436" s="18" t="n">
        <x:v>3.78</x:v>
      </x:c>
      <x:c r="N436" s="12" t="str">
        <x:v>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x:v>
      </x:c>
      <x:c r="O436" s="12" t="str">
        <x:v>https://www.onetonline.org/link/summary/43-4031.00</x:v>
      </x:c>
      <x:c r="P436" s="12" t="str">
        <x:v>SOC43 minus bookkeeping, secretaries/administrative assistants and receptionists; office supervisors remain included.</x:v>
      </x:c>
    </x:row>
    <x:row r="437" ht="50.25" customHeight="1">
      <x:c r="A437" s="15" t="str">
        <x:v>780330</x:v>
      </x:c>
      <x:c r="B437" s="12" t="str">
        <x:v>Other office and administrative support workers</x:v>
      </x:c>
      <x:c r="C437" s="35" t="str">
        <x:v>43-4041.00</x:v>
      </x:c>
      <x:c r="D437" s="12" t="str">
        <x:v>Credit Authorizers, Checkers, and Clerks</x:v>
      </x:c>
      <x:c r="E437" s="2" t="str">
        <x:v>Include</x:v>
      </x:c>
      <x:c r="F437" s="2" t="str">
        <x:v>Yes</x:v>
      </x:c>
      <x:c r="G437" s="15" t="str">
        <x:v>6/6</x:v>
      </x:c>
      <x:c r="H437" s="18" t="n">
        <x:v>2.67</x:v>
      </x:c>
      <x:c r="I437" s="18" t="n">
        <x:v>2.83</x:v>
      </x:c>
      <x:c r="J437" s="18" t="n">
        <x:v>2.5</x:v>
      </x:c>
      <x:c r="K437" s="18" t="n">
        <x:v>4.5</x:v>
      </x:c>
      <x:c r="L437" s="18" t="n">
        <x:v>4.67</x:v>
      </x:c>
      <x:c r="M437" s="18" t="n">
        <x:v>4.33</x:v>
      </x:c>
      <x:c r="N437" s="12" t="str">
        <x:v>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x:v>
      </x:c>
      <x:c r="O437" s="12" t="str">
        <x:v>https://www.onetonline.org/link/summary/43-4041.00</x:v>
      </x:c>
      <x:c r="P437" s="12" t="str">
        <x:v>SOC43 minus bookkeeping, secretaries/administrative assistants and receptionists; office supervisors remain included.</x:v>
      </x:c>
    </x:row>
    <x:row r="438" ht="50.25" customHeight="1">
      <x:c r="A438" s="15" t="str">
        <x:v>780330</x:v>
      </x:c>
      <x:c r="B438" s="12" t="str">
        <x:v>Other office and administrative support workers</x:v>
      </x:c>
      <x:c r="C438" s="35" t="str">
        <x:v>43-4051.00</x:v>
      </x:c>
      <x:c r="D438" s="12" t="str">
        <x:v>Customer Service Representatives</x:v>
      </x:c>
      <x:c r="E438" s="2" t="str">
        <x:v>Include</x:v>
      </x:c>
      <x:c r="F438" s="2" t="str">
        <x:v>Yes</x:v>
      </x:c>
      <x:c r="G438" s="15" t="str">
        <x:v>6/6</x:v>
      </x:c>
      <x:c r="H438" s="18" t="n">
        <x:v>3</x:v>
      </x:c>
      <x:c r="I438" s="18" t="n">
        <x:v>2.83</x:v>
      </x:c>
      <x:c r="J438" s="18" t="n">
        <x:v>3</x:v>
      </x:c>
      <x:c r="K438" s="18" t="n">
        <x:v>6</x:v>
      </x:c>
      <x:c r="L438" s="18" t="n">
        <x:v>4.33</x:v>
      </x:c>
      <x:c r="M438" s="18" t="n">
        <x:v>3.67</x:v>
      </x:c>
      <x:c r="N438" s="12" t="str">
        <x:v>Interact with customers to provide basic or scripted information in response to routine inquiries about products and services. May handle and resolve general complaints. Excludes individuals whose duties are primarily installation, sales, repair, and technical support.</x:v>
      </x:c>
      <x:c r="O438" s="12" t="str">
        <x:v>https://www.onetonline.org/link/summary/43-4051.00</x:v>
      </x:c>
      <x:c r="P438" s="12" t="str">
        <x:v>SOC43 minus bookkeeping, secretaries/administrative assistants and receptionists; office supervisors remain included.</x:v>
      </x:c>
    </x:row>
    <x:row r="439" ht="50.25" customHeight="1">
      <x:c r="A439" s="15" t="str">
        <x:v>780330</x:v>
      </x:c>
      <x:c r="B439" s="12" t="str">
        <x:v>Other office and administrative support workers</x:v>
      </x:c>
      <x:c r="C439" s="35" t="str">
        <x:v>43-4061.00</x:v>
      </x:c>
      <x:c r="D439" s="12" t="str">
        <x:v>Eligibility Interviewers, Government Programs</x:v>
      </x:c>
      <x:c r="E439" s="2" t="str">
        <x:v>Include</x:v>
      </x:c>
      <x:c r="F439" s="2" t="str">
        <x:v>Yes</x:v>
      </x:c>
      <x:c r="G439" s="15" t="str">
        <x:v>6/6</x:v>
      </x:c>
      <x:c r="H439" s="18" t="n">
        <x:v>3.67</x:v>
      </x:c>
      <x:c r="I439" s="18" t="n">
        <x:v>4.17</x:v>
      </x:c>
      <x:c r="J439" s="18" t="n">
        <x:v>3.33</x:v>
      </x:c>
      <x:c r="K439" s="18" t="n">
        <x:v>5</x:v>
      </x:c>
      <x:c r="L439" s="18" t="n">
        <x:v>4.67</x:v>
      </x:c>
      <x:c r="M439" s="18" t="n">
        <x:v>4.33</x:v>
      </x:c>
      <x:c r="N439" s="12" t="str">
        <x:v>Determine eligibility of persons applying to receive assistance from government programs and agency resources, such as welfare, unemployment benefits, social security, and public housing.</x:v>
      </x:c>
      <x:c r="O439" s="12" t="str">
        <x:v>https://www.onetonline.org/link/summary/43-4061.00</x:v>
      </x:c>
      <x:c r="P439" s="12" t="str">
        <x:v>SOC43 minus bookkeeping, secretaries/administrative assistants and receptionists; office supervisors remain included.</x:v>
      </x:c>
    </x:row>
    <x:row r="440" ht="50.25" customHeight="1">
      <x:c r="A440" s="15" t="str">
        <x:v>780330</x:v>
      </x:c>
      <x:c r="B440" s="12" t="str">
        <x:v>Other office and administrative support workers</x:v>
      </x:c>
      <x:c r="C440" s="35" t="str">
        <x:v>43-4071.00</x:v>
      </x:c>
      <x:c r="D440" s="12" t="str">
        <x:v>File Clerks</x:v>
      </x:c>
      <x:c r="E440" s="2" t="str">
        <x:v>Include</x:v>
      </x:c>
      <x:c r="F440" s="2" t="str">
        <x:v>Yes</x:v>
      </x:c>
      <x:c r="G440" s="15" t="str">
        <x:v>6/6</x:v>
      </x:c>
      <x:c r="H440" s="18" t="n">
        <x:v>2.33</x:v>
      </x:c>
      <x:c r="I440" s="18" t="n">
        <x:v>2.17</x:v>
      </x:c>
      <x:c r="J440" s="18" t="n">
        <x:v>2</x:v>
      </x:c>
      <x:c r="K440" s="18" t="n">
        <x:v>3.33</x:v>
      </x:c>
      <x:c r="L440" s="18" t="n">
        <x:v>4.33</x:v>
      </x:c>
      <x:c r="M440" s="18" t="n">
        <x:v>2.67</x:v>
      </x:c>
      <x:c r="N440" s="12" t="str">
        <x:v>File correspondence, cards, invoices, receipts, and other records in alphabetical or numerical order or according to the filing system used. Locate and remove material from file when requested.</x:v>
      </x:c>
      <x:c r="O440" s="12" t="str">
        <x:v>https://www.onetonline.org/link/summary/43-4071.00</x:v>
      </x:c>
      <x:c r="P440" s="12" t="str">
        <x:v>SOC43 minus bookkeeping, secretaries/administrative assistants and receptionists; office supervisors remain included.</x:v>
      </x:c>
    </x:row>
    <x:row r="441" ht="50.25" customHeight="1">
      <x:c r="A441" s="15" t="str">
        <x:v>780330</x:v>
      </x:c>
      <x:c r="B441" s="12" t="str">
        <x:v>Other office and administrative support workers</x:v>
      </x:c>
      <x:c r="C441" s="35" t="str">
        <x:v>43-4081.00</x:v>
      </x:c>
      <x:c r="D441" s="12" t="str">
        <x:v>Hotel, Motel, and Resort Desk Clerks</x:v>
      </x:c>
      <x:c r="E441" s="2" t="str">
        <x:v>Include</x:v>
      </x:c>
      <x:c r="F441" s="2" t="str">
        <x:v>Yes</x:v>
      </x:c>
      <x:c r="G441" s="15" t="str">
        <x:v>6/6</x:v>
      </x:c>
      <x:c r="H441" s="18" t="n">
        <x:v>2.33</x:v>
      </x:c>
      <x:c r="I441" s="18" t="n">
        <x:v>2.17</x:v>
      </x:c>
      <x:c r="J441" s="18" t="n">
        <x:v>2.33</x:v>
      </x:c>
      <x:c r="K441" s="18" t="n">
        <x:v>6</x:v>
      </x:c>
      <x:c r="L441" s="18" t="n">
        <x:v>3.67</x:v>
      </x:c>
      <x:c r="M441" s="18" t="n">
        <x:v>3</x:v>
      </x:c>
      <x:c r="N441" s="12" t="str">
        <x:v>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x:v>
      </x:c>
      <x:c r="O441" s="12" t="str">
        <x:v>https://www.onetonline.org/link/summary/43-4081.00</x:v>
      </x:c>
      <x:c r="P441" s="12" t="str">
        <x:v>SOC43 minus bookkeeping, secretaries/administrative assistants and receptionists; office supervisors remain included.</x:v>
      </x:c>
    </x:row>
    <x:row r="442" ht="50.25" customHeight="1">
      <x:c r="A442" s="15" t="str">
        <x:v>780330</x:v>
      </x:c>
      <x:c r="B442" s="12" t="str">
        <x:v>Other office and administrative support workers</x:v>
      </x:c>
      <x:c r="C442" s="35" t="str">
        <x:v>43-4111.00</x:v>
      </x:c>
      <x:c r="D442" s="12" t="str">
        <x:v>Interviewers, Except Eligibility and Loan</x:v>
      </x:c>
      <x:c r="E442" s="2" t="str">
        <x:v>Include</x:v>
      </x:c>
      <x:c r="F442" s="2" t="str">
        <x:v>Yes</x:v>
      </x:c>
      <x:c r="G442" s="15" t="str">
        <x:v>6/6</x:v>
      </x:c>
      <x:c r="H442" s="18" t="n">
        <x:v>2.33</x:v>
      </x:c>
      <x:c r="I442" s="18" t="n">
        <x:v>3.67</x:v>
      </x:c>
      <x:c r="J442" s="18" t="n">
        <x:v>2</x:v>
      </x:c>
      <x:c r="K442" s="18" t="n">
        <x:v>5.67</x:v>
      </x:c>
      <x:c r="L442" s="18" t="n">
        <x:v>5</x:v>
      </x:c>
      <x:c r="M442" s="18" t="n">
        <x:v>3.67</x:v>
      </x:c>
      <x:c r="N442" s="12" t="str">
        <x:v>Interview persons by telephone, mail, in person, or by other means for the purpose of completing forms, applications, or questionnaires. Ask specific questions, record answers, and assist persons with completing form. May sort, classify, and file forms.</x:v>
      </x:c>
      <x:c r="O442" s="12" t="str">
        <x:v>https://www.onetonline.org/link/summary/43-4111.00</x:v>
      </x:c>
      <x:c r="P442" s="12" t="str">
        <x:v>SOC43 minus bookkeeping, secretaries/administrative assistants and receptionists; office supervisors remain included.</x:v>
      </x:c>
    </x:row>
    <x:row r="443" ht="50.25" customHeight="1">
      <x:c r="A443" s="15" t="str">
        <x:v>780330</x:v>
      </x:c>
      <x:c r="B443" s="12" t="str">
        <x:v>Other office and administrative support workers</x:v>
      </x:c>
      <x:c r="C443" s="35" t="str">
        <x:v>43-4121.00</x:v>
      </x:c>
      <x:c r="D443" s="12" t="str">
        <x:v>Library Assistants, Clerical</x:v>
      </x:c>
      <x:c r="E443" s="2" t="str">
        <x:v>Include</x:v>
      </x:c>
      <x:c r="F443" s="2" t="str">
        <x:v>Yes</x:v>
      </x:c>
      <x:c r="G443" s="15" t="str">
        <x:v>6/6</x:v>
      </x:c>
      <x:c r="H443" s="18" t="n">
        <x:v>2.67</x:v>
      </x:c>
      <x:c r="I443" s="18" t="n">
        <x:v>2.5</x:v>
      </x:c>
      <x:c r="J443" s="18" t="n">
        <x:v>2.33</x:v>
      </x:c>
      <x:c r="K443" s="18" t="n">
        <x:v>5</x:v>
      </x:c>
      <x:c r="L443" s="18" t="n">
        <x:v>3.67</x:v>
      </x:c>
      <x:c r="M443" s="18" t="n">
        <x:v>2.33</x:v>
      </x:c>
      <x:c r="N443" s="12" t="str">
        <x:v>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x:v>
      </x:c>
      <x:c r="O443" s="12" t="str">
        <x:v>https://www.onetonline.org/link/summary/43-4121.00</x:v>
      </x:c>
      <x:c r="P443" s="12" t="str">
        <x:v>SOC43 minus bookkeeping, secretaries/administrative assistants and receptionists; office supervisors remain included.</x:v>
      </x:c>
    </x:row>
    <x:row r="444" ht="50.25" customHeight="1">
      <x:c r="A444" s="15" t="str">
        <x:v>780330</x:v>
      </x:c>
      <x:c r="B444" s="12" t="str">
        <x:v>Other office and administrative support workers</x:v>
      </x:c>
      <x:c r="C444" s="35" t="str">
        <x:v>43-4131.00</x:v>
      </x:c>
      <x:c r="D444" s="12" t="str">
        <x:v>Loan Interviewers and Clerks</x:v>
      </x:c>
      <x:c r="E444" s="2" t="str">
        <x:v>Include</x:v>
      </x:c>
      <x:c r="F444" s="2" t="str">
        <x:v>Yes</x:v>
      </x:c>
      <x:c r="G444" s="15" t="str">
        <x:v>6/6</x:v>
      </x:c>
      <x:c r="H444" s="18" t="n">
        <x:v>3.67</x:v>
      </x:c>
      <x:c r="I444" s="18" t="n">
        <x:v>3.5</x:v>
      </x:c>
      <x:c r="J444" s="18" t="n">
        <x:v>3.67</x:v>
      </x:c>
      <x:c r="K444" s="18" t="n">
        <x:v>4.67</x:v>
      </x:c>
      <x:c r="L444" s="18" t="n">
        <x:v>4.33</x:v>
      </x:c>
      <x:c r="M444" s="18" t="n">
        <x:v>3.33</x:v>
      </x:c>
      <x:c r="N444" s="12" t="str">
        <x:v>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x:v>
      </x:c>
      <x:c r="O444" s="12" t="str">
        <x:v>https://www.onetonline.org/link/summary/43-4131.00</x:v>
      </x:c>
      <x:c r="P444" s="12" t="str">
        <x:v>SOC43 minus bookkeeping, secretaries/administrative assistants and receptionists; office supervisors remain included.</x:v>
      </x:c>
    </x:row>
    <x:row r="445" ht="50.25" customHeight="1">
      <x:c r="A445" s="15" t="str">
        <x:v>780330</x:v>
      </x:c>
      <x:c r="B445" s="12" t="str">
        <x:v>Other office and administrative support workers</x:v>
      </x:c>
      <x:c r="C445" s="35" t="str">
        <x:v>43-4141.00</x:v>
      </x:c>
      <x:c r="D445" s="12" t="str">
        <x:v>New Accounts Clerks</x:v>
      </x:c>
      <x:c r="E445" s="2" t="str">
        <x:v>Include</x:v>
      </x:c>
      <x:c r="F445" s="2" t="str">
        <x:v>Yes</x:v>
      </x:c>
      <x:c r="G445" s="15" t="str">
        <x:v>6/6</x:v>
      </x:c>
      <x:c r="H445" s="18" t="n">
        <x:v>3.67</x:v>
      </x:c>
      <x:c r="I445" s="18" t="n">
        <x:v>3.5</x:v>
      </x:c>
      <x:c r="J445" s="18" t="n">
        <x:v>3.33</x:v>
      </x:c>
      <x:c r="K445" s="18" t="n">
        <x:v>5</x:v>
      </x:c>
      <x:c r="L445" s="18" t="n">
        <x:v>5.33</x:v>
      </x:c>
      <x:c r="M445" s="18" t="n">
        <x:v>4</x:v>
      </x:c>
      <x:c r="N445" s="12" t="str">
        <x:v>Interview persons desiring to open accounts in financial institutions. Explain account services available to prospective customers and assist them in preparing applications.</x:v>
      </x:c>
      <x:c r="O445" s="12" t="str">
        <x:v>https://www.onetonline.org/link/summary/43-4141.00</x:v>
      </x:c>
      <x:c r="P445" s="12" t="str">
        <x:v>SOC43 minus bookkeeping, secretaries/administrative assistants and receptionists; office supervisors remain included.</x:v>
      </x:c>
    </x:row>
    <x:row r="446" ht="50.25" customHeight="1">
      <x:c r="A446" s="15" t="str">
        <x:v>780330</x:v>
      </x:c>
      <x:c r="B446" s="12" t="str">
        <x:v>Other office and administrative support workers</x:v>
      </x:c>
      <x:c r="C446" s="35" t="str">
        <x:v>43-4151.00</x:v>
      </x:c>
      <x:c r="D446" s="12" t="str">
        <x:v>Order Clerks</x:v>
      </x:c>
      <x:c r="E446" s="2" t="str">
        <x:v>Include</x:v>
      </x:c>
      <x:c r="F446" s="2" t="str">
        <x:v>Yes</x:v>
      </x:c>
      <x:c r="G446" s="15" t="str">
        <x:v>6/6</x:v>
      </x:c>
      <x:c r="H446" s="18" t="n">
        <x:v>2.33</x:v>
      </x:c>
      <x:c r="I446" s="18" t="n">
        <x:v>3.5</x:v>
      </x:c>
      <x:c r="J446" s="18" t="n">
        <x:v>2.33</x:v>
      </x:c>
      <x:c r="K446" s="18" t="n">
        <x:v>3.33</x:v>
      </x:c>
      <x:c r="L446" s="18" t="n">
        <x:v>4.33</x:v>
      </x:c>
      <x:c r="M446" s="18" t="n">
        <x:v>3.67</x:v>
      </x:c>
      <x:c r="N446" s="12" t="str">
        <x:v>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x:v>
      </x:c>
      <x:c r="O446" s="12" t="str">
        <x:v>https://www.onetonline.org/link/summary/43-4151.00</x:v>
      </x:c>
      <x:c r="P446" s="12" t="str">
        <x:v>SOC43 minus bookkeeping, secretaries/administrative assistants and receptionists; office supervisors remain included.</x:v>
      </x:c>
    </x:row>
    <x:row r="447" ht="50.25" customHeight="1">
      <x:c r="A447" s="15" t="str">
        <x:v>780330</x:v>
      </x:c>
      <x:c r="B447" s="12" t="str">
        <x:v>Other office and administrative support workers</x:v>
      </x:c>
      <x:c r="C447" s="35" t="str">
        <x:v>43-4161.00</x:v>
      </x:c>
      <x:c r="D447" s="12" t="str">
        <x:v>Human Resources Assistants, Except Payroll and Timekeeping</x:v>
      </x:c>
      <x:c r="E447" s="2" t="str">
        <x:v>Include</x:v>
      </x:c>
      <x:c r="F447" s="2" t="str">
        <x:v>Yes</x:v>
      </x:c>
      <x:c r="G447" s="15" t="str">
        <x:v>6/6</x:v>
      </x:c>
      <x:c r="H447" s="18" t="n">
        <x:v>3.33</x:v>
      </x:c>
      <x:c r="I447" s="18" t="n">
        <x:v>3.83</x:v>
      </x:c>
      <x:c r="J447" s="18" t="n">
        <x:v>3.33</x:v>
      </x:c>
      <x:c r="K447" s="18" t="n">
        <x:v>5</x:v>
      </x:c>
      <x:c r="L447" s="18" t="n">
        <x:v>4.67</x:v>
      </x:c>
      <x:c r="M447" s="18" t="n">
        <x:v>3.67</x:v>
      </x:c>
      <x:c r="N447" s="12" t="str">
        <x:v>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x:v>
      </x:c>
      <x:c r="O447" s="12" t="str">
        <x:v>https://www.onetonline.org/link/summary/43-4161.00</x:v>
      </x:c>
      <x:c r="P447" s="12" t="str">
        <x:v>SOC43 minus bookkeeping, secretaries/administrative assistants and receptionists; office supervisors remain included.</x:v>
      </x:c>
    </x:row>
    <x:row r="448" ht="50.25" customHeight="1">
      <x:c r="A448" s="15" t="str">
        <x:v>780330</x:v>
      </x:c>
      <x:c r="B448" s="12" t="str">
        <x:v>Other office and administrative support workers</x:v>
      </x:c>
      <x:c r="C448" s="35" t="str">
        <x:v>43-4181.00</x:v>
      </x:c>
      <x:c r="D448" s="12" t="str">
        <x:v>Reservation and Transportation Ticket Agents and Travel Clerks</x:v>
      </x:c>
      <x:c r="E448" s="2" t="str">
        <x:v>Include</x:v>
      </x:c>
      <x:c r="F448" s="2" t="str">
        <x:v>Yes</x:v>
      </x:c>
      <x:c r="G448" s="15" t="str">
        <x:v>6/6</x:v>
      </x:c>
      <x:c r="H448" s="18" t="n">
        <x:v>3.33</x:v>
      </x:c>
      <x:c r="I448" s="18" t="n">
        <x:v>3.17</x:v>
      </x:c>
      <x:c r="J448" s="18" t="n">
        <x:v>3</x:v>
      </x:c>
      <x:c r="K448" s="18" t="n">
        <x:v>5</x:v>
      </x:c>
      <x:c r="L448" s="18" t="n">
        <x:v>3.67</x:v>
      </x:c>
      <x:c r="M448" s="18" t="n">
        <x:v>3.67</x:v>
      </x:c>
      <x:c r="N448" s="12" t="str">
        <x:v>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x:v>
      </x:c>
      <x:c r="O448" s="12" t="str">
        <x:v>https://www.onetonline.org/link/summary/43-4181.00</x:v>
      </x:c>
      <x:c r="P448" s="12" t="str">
        <x:v>SOC43 minus bookkeeping, secretaries/administrative assistants and receptionists; office supervisors remain included.</x:v>
      </x:c>
    </x:row>
    <x:row r="449" ht="50.25" customHeight="1">
      <x:c r="A449" s="15" t="str">
        <x:v>780330</x:v>
      </x:c>
      <x:c r="B449" s="12" t="str">
        <x:v>Other office and administrative support workers</x:v>
      </x:c>
      <x:c r="C449" s="35" t="str">
        <x:v>43-4199.00</x:v>
      </x:c>
      <x:c r="D449" s="12" t="str">
        <x:v>Information and Record Clerks, All Other</x:v>
      </x:c>
      <x:c r="E449" s="2" t="str">
        <x:v>Exclude (no Work Values)</x:v>
      </x:c>
      <x:c r="F449" s="2" t="str">
        <x:v>Yes</x:v>
      </x:c>
      <x:c r="G449" s="15" t="str">
        <x:v>0/6</x:v>
      </x:c>
      <x:c r="H449" s="18"/>
      <x:c r="I449" s="18"/>
      <x:c r="J449" s="18"/>
      <x:c r="K449" s="18"/>
      <x:c r="L449" s="18"/>
      <x:c r="M449" s="18"/>
      <x:c r="N449" s="12" t="str">
        <x:v>All information and record clerks not listed separately.</x:v>
      </x:c>
      <x:c r="O449" s="12" t="str">
        <x:v>https://www.onetonline.org/link/summary/43-4199.00</x:v>
      </x:c>
      <x:c r="P449" s="12" t="str">
        <x:v>SOC43 minus bookkeeping, secretaries/administrative assistants and receptionists; office supervisors remain included.</x:v>
      </x:c>
    </x:row>
    <x:row r="450" ht="50.25" customHeight="1">
      <x:c r="A450" s="15" t="str">
        <x:v>780330</x:v>
      </x:c>
      <x:c r="B450" s="12" t="str">
        <x:v>Other office and administrative support workers</x:v>
      </x:c>
      <x:c r="C450" s="35" t="str">
        <x:v>43-5011.00</x:v>
      </x:c>
      <x:c r="D450" s="12" t="str">
        <x:v>Cargo and Freight Agents</x:v>
      </x:c>
      <x:c r="E450" s="2" t="str">
        <x:v>Include</x:v>
      </x:c>
      <x:c r="F450" s="2" t="str">
        <x:v>Yes</x:v>
      </x:c>
      <x:c r="G450" s="15" t="str">
        <x:v>6/6</x:v>
      </x:c>
      <x:c r="H450" s="18" t="n">
        <x:v>3</x:v>
      </x:c>
      <x:c r="I450" s="18" t="n">
        <x:v>3</x:v>
      </x:c>
      <x:c r="J450" s="18" t="n">
        <x:v>3</x:v>
      </x:c>
      <x:c r="K450" s="18" t="n">
        <x:v>4.33</x:v>
      </x:c>
      <x:c r="L450" s="18" t="n">
        <x:v>4.33</x:v>
      </x:c>
      <x:c r="M450" s="18" t="n">
        <x:v>3.67</x:v>
      </x:c>
      <x:c r="N450" s="12" t="str">
        <x:v>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x:v>
      </x:c>
      <x:c r="O450" s="12" t="str">
        <x:v>https://www.onetonline.org/link/summary/43-5011.00</x:v>
      </x:c>
      <x:c r="P450" s="12" t="str">
        <x:v>SOC43 minus bookkeeping, secretaries/administrative assistants and receptionists; office supervisors remain included.</x:v>
      </x:c>
    </x:row>
    <x:row r="451" ht="50.25" customHeight="1">
      <x:c r="A451" s="15" t="str">
        <x:v>780330</x:v>
      </x:c>
      <x:c r="B451" s="12" t="str">
        <x:v>Other office and administrative support workers</x:v>
      </x:c>
      <x:c r="C451" s="35" t="str">
        <x:v>43-5021.00</x:v>
      </x:c>
      <x:c r="D451" s="12" t="str">
        <x:v>Couriers and Messengers</x:v>
      </x:c>
      <x:c r="E451" s="2" t="str">
        <x:v>Include</x:v>
      </x:c>
      <x:c r="F451" s="2" t="str">
        <x:v>Yes</x:v>
      </x:c>
      <x:c r="G451" s="15" t="str">
        <x:v>6/6</x:v>
      </x:c>
      <x:c r="H451" s="18" t="n">
        <x:v>2</x:v>
      </x:c>
      <x:c r="I451" s="18" t="n">
        <x:v>2.67</x:v>
      </x:c>
      <x:c r="J451" s="18" t="n">
        <x:v>2</x:v>
      </x:c>
      <x:c r="K451" s="18" t="n">
        <x:v>4</x:v>
      </x:c>
      <x:c r="L451" s="18" t="n">
        <x:v>4</x:v>
      </x:c>
      <x:c r="M451" s="18" t="n">
        <x:v>2.67</x:v>
      </x:c>
      <x:c r="N451" s="12" t="str">
        <x:v>Pick up and deliver messages, documents, packages, and other items between offices or departments within an establishment or directly to other business concerns, traveling by foot, bicycle, motorcycle, automobile, or public conveyance.</x:v>
      </x:c>
      <x:c r="O451" s="12" t="str">
        <x:v>https://www.onetonline.org/link/summary/43-5021.00</x:v>
      </x:c>
      <x:c r="P451" s="12" t="str">
        <x:v>SOC43 minus bookkeeping, secretaries/administrative assistants and receptionists; office supervisors remain included.</x:v>
      </x:c>
    </x:row>
    <x:row r="452" ht="50.25" customHeight="1">
      <x:c r="A452" s="15" t="str">
        <x:v>780330</x:v>
      </x:c>
      <x:c r="B452" s="12" t="str">
        <x:v>Other office and administrative support workers</x:v>
      </x:c>
      <x:c r="C452" s="35" t="str">
        <x:v>43-5031.00</x:v>
      </x:c>
      <x:c r="D452" s="12" t="str">
        <x:v>Public Safety Telecommunicators</x:v>
      </x:c>
      <x:c r="E452" s="2" t="str">
        <x:v>Include</x:v>
      </x:c>
      <x:c r="F452" s="2" t="str">
        <x:v>Yes</x:v>
      </x:c>
      <x:c r="G452" s="15" t="str">
        <x:v>6/6</x:v>
      </x:c>
      <x:c r="H452" s="18" t="n">
        <x:v>4</x:v>
      </x:c>
      <x:c r="I452" s="18" t="n">
        <x:v>3.83</x:v>
      </x:c>
      <x:c r="J452" s="18" t="n">
        <x:v>3.67</x:v>
      </x:c>
      <x:c r="K452" s="18" t="n">
        <x:v>6</x:v>
      </x:c>
      <x:c r="L452" s="18" t="n">
        <x:v>6</x:v>
      </x:c>
      <x:c r="M452" s="18" t="n">
        <x:v>4</x:v>
      </x:c>
      <x:c r="N452" s="12" t="str">
        <x:v>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x:v>
      </x:c>
      <x:c r="O452" s="12" t="str">
        <x:v>https://www.onetonline.org/link/summary/43-5031.00</x:v>
      </x:c>
      <x:c r="P452" s="12" t="str">
        <x:v>SOC43 minus bookkeeping, secretaries/administrative assistants and receptionists; office supervisors remain included.</x:v>
      </x:c>
    </x:row>
    <x:row r="453" ht="50.25" customHeight="1">
      <x:c r="A453" s="15" t="str">
        <x:v>780330</x:v>
      </x:c>
      <x:c r="B453" s="12" t="str">
        <x:v>Other office and administrative support workers</x:v>
      </x:c>
      <x:c r="C453" s="35" t="str">
        <x:v>43-5032.00</x:v>
      </x:c>
      <x:c r="D453" s="12" t="str">
        <x:v>Dispatchers, Except Police, Fire, and Ambulance</x:v>
      </x:c>
      <x:c r="E453" s="2" t="str">
        <x:v>Include</x:v>
      </x:c>
      <x:c r="F453" s="2" t="str">
        <x:v>Yes</x:v>
      </x:c>
      <x:c r="G453" s="15" t="str">
        <x:v>6/6</x:v>
      </x:c>
      <x:c r="H453" s="18" t="n">
        <x:v>3.33</x:v>
      </x:c>
      <x:c r="I453" s="18" t="n">
        <x:v>4.17</x:v>
      </x:c>
      <x:c r="J453" s="18" t="n">
        <x:v>3</x:v>
      </x:c>
      <x:c r="K453" s="18" t="n">
        <x:v>3.33</x:v>
      </x:c>
      <x:c r="L453" s="18" t="n">
        <x:v>4.67</x:v>
      </x:c>
      <x:c r="M453" s="18" t="n">
        <x:v>4.67</x:v>
      </x:c>
      <x:c r="N453" s="12" t="str">
        <x:v>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x:v>
      </x:c>
      <x:c r="O453" s="12" t="str">
        <x:v>https://www.onetonline.org/link/summary/43-5032.00</x:v>
      </x:c>
      <x:c r="P453" s="12" t="str">
        <x:v>SOC43 minus bookkeeping, secretaries/administrative assistants and receptionists; office supervisors remain included.</x:v>
      </x:c>
    </x:row>
    <x:row r="454" ht="50.25" customHeight="1">
      <x:c r="A454" s="15" t="str">
        <x:v>780330</x:v>
      </x:c>
      <x:c r="B454" s="12" t="str">
        <x:v>Other office and administrative support workers</x:v>
      </x:c>
      <x:c r="C454" s="35" t="str">
        <x:v>43-5041.00</x:v>
      </x:c>
      <x:c r="D454" s="12" t="str">
        <x:v>Meter Readers, Utilities</x:v>
      </x:c>
      <x:c r="E454" s="2" t="str">
        <x:v>Include</x:v>
      </x:c>
      <x:c r="F454" s="2" t="str">
        <x:v>Yes</x:v>
      </x:c>
      <x:c r="G454" s="15" t="str">
        <x:v>6/6</x:v>
      </x:c>
      <x:c r="H454" s="18" t="n">
        <x:v>2.67</x:v>
      </x:c>
      <x:c r="I454" s="18" t="n">
        <x:v>3.5</x:v>
      </x:c>
      <x:c r="J454" s="18" t="n">
        <x:v>2.33</x:v>
      </x:c>
      <x:c r="K454" s="18" t="n">
        <x:v>2.67</x:v>
      </x:c>
      <x:c r="L454" s="18" t="n">
        <x:v>3</x:v>
      </x:c>
      <x:c r="M454" s="18" t="n">
        <x:v>3.33</x:v>
      </x:c>
      <x:c r="N454" s="12" t="str">
        <x:v>Read meter and record consumption of electricity, gas, water, or steam.</x:v>
      </x:c>
      <x:c r="O454" s="12" t="str">
        <x:v>https://www.onetonline.org/link/summary/43-5041.00</x:v>
      </x:c>
      <x:c r="P454" s="12" t="str">
        <x:v>SOC43 minus bookkeeping, secretaries/administrative assistants and receptionists; office supervisors remain included.</x:v>
      </x:c>
    </x:row>
    <x:row r="455" ht="50.25" customHeight="1">
      <x:c r="A455" s="15" t="str">
        <x:v>780330</x:v>
      </x:c>
      <x:c r="B455" s="12" t="str">
        <x:v>Other office and administrative support workers</x:v>
      </x:c>
      <x:c r="C455" s="35" t="str">
        <x:v>43-5051.00</x:v>
      </x:c>
      <x:c r="D455" s="12" t="str">
        <x:v>Postal Service Clerks</x:v>
      </x:c>
      <x:c r="E455" s="2" t="str">
        <x:v>Include</x:v>
      </x:c>
      <x:c r="F455" s="2" t="str">
        <x:v>Yes</x:v>
      </x:c>
      <x:c r="G455" s="15" t="str">
        <x:v>6/6</x:v>
      </x:c>
      <x:c r="H455" s="18" t="n">
        <x:v>2.33</x:v>
      </x:c>
      <x:c r="I455" s="18" t="n">
        <x:v>3.83</x:v>
      </x:c>
      <x:c r="J455" s="18" t="n">
        <x:v>2.67</x:v>
      </x:c>
      <x:c r="K455" s="18" t="n">
        <x:v>4.33</x:v>
      </x:c>
      <x:c r="L455" s="18" t="n">
        <x:v>4.33</x:v>
      </x:c>
      <x:c r="M455" s="18" t="n">
        <x:v>3</x:v>
      </x:c>
      <x:c r="N455" s="12" t="str">
        <x:v>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x:v>
      </x:c>
      <x:c r="O455" s="12" t="str">
        <x:v>https://www.onetonline.org/link/summary/43-5051.00</x:v>
      </x:c>
      <x:c r="P455" s="12" t="str">
        <x:v>SOC43 minus bookkeeping, secretaries/administrative assistants and receptionists; office supervisors remain included.</x:v>
      </x:c>
    </x:row>
    <x:row r="456" ht="50.25" customHeight="1">
      <x:c r="A456" s="15" t="str">
        <x:v>780330</x:v>
      </x:c>
      <x:c r="B456" s="12" t="str">
        <x:v>Other office and administrative support workers</x:v>
      </x:c>
      <x:c r="C456" s="35" t="str">
        <x:v>43-5052.00</x:v>
      </x:c>
      <x:c r="D456" s="12" t="str">
        <x:v>Postal Service Mail Carriers</x:v>
      </x:c>
      <x:c r="E456" s="2" t="str">
        <x:v>Include</x:v>
      </x:c>
      <x:c r="F456" s="2" t="str">
        <x:v>Yes</x:v>
      </x:c>
      <x:c r="G456" s="15" t="str">
        <x:v>6/6</x:v>
      </x:c>
      <x:c r="H456" s="18" t="n">
        <x:v>2.33</x:v>
      </x:c>
      <x:c r="I456" s="18" t="n">
        <x:v>3.5</x:v>
      </x:c>
      <x:c r="J456" s="18" t="n">
        <x:v>2.67</x:v>
      </x:c>
      <x:c r="K456" s="18" t="n">
        <x:v>3.67</x:v>
      </x:c>
      <x:c r="L456" s="18" t="n">
        <x:v>4</x:v>
      </x:c>
      <x:c r="M456" s="18" t="n">
        <x:v>3</x:v>
      </x:c>
      <x:c r="N456" s="12" t="str">
        <x:v>Sort and deliver mail for the United States Postal Service (USPS). Deliver mail on established route by vehicle or on foot. Includes postal service mail carriers employed by USPS contractors.</x:v>
      </x:c>
      <x:c r="O456" s="12" t="str">
        <x:v>https://www.onetonline.org/link/summary/43-5052.00</x:v>
      </x:c>
      <x:c r="P456" s="12" t="str">
        <x:v>SOC43 minus bookkeeping, secretaries/administrative assistants and receptionists; office supervisors remain included.</x:v>
      </x:c>
    </x:row>
    <x:row r="457" ht="50.25" customHeight="1">
      <x:c r="A457" s="15" t="str">
        <x:v>780330</x:v>
      </x:c>
      <x:c r="B457" s="12" t="str">
        <x:v>Other office and administrative support workers</x:v>
      </x:c>
      <x:c r="C457" s="35" t="str">
        <x:v>43-5053.00</x:v>
      </x:c>
      <x:c r="D457" s="12" t="str">
        <x:v>Postal Service Mail Sorters, Processors, and Processing Machine Operators</x:v>
      </x:c>
      <x:c r="E457" s="2" t="str">
        <x:v>Include</x:v>
      </x:c>
      <x:c r="F457" s="2" t="str">
        <x:v>Yes</x:v>
      </x:c>
      <x:c r="G457" s="15" t="str">
        <x:v>6/6</x:v>
      </x:c>
      <x:c r="H457" s="18" t="n">
        <x:v>2.33</x:v>
      </x:c>
      <x:c r="I457" s="18" t="n">
        <x:v>2.83</x:v>
      </x:c>
      <x:c r="J457" s="18" t="n">
        <x:v>2</x:v>
      </x:c>
      <x:c r="K457" s="18" t="n">
        <x:v>4.33</x:v>
      </x:c>
      <x:c r="L457" s="18" t="n">
        <x:v>4.67</x:v>
      </x:c>
      <x:c r="M457" s="18" t="n">
        <x:v>2.33</x:v>
      </x:c>
      <x:c r="N457" s="12" t="str">
        <x:v>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x:v>
      </x:c>
      <x:c r="O457" s="12" t="str">
        <x:v>https://www.onetonline.org/link/summary/43-5053.00</x:v>
      </x:c>
      <x:c r="P457" s="12" t="str">
        <x:v>SOC43 minus bookkeeping, secretaries/administrative assistants and receptionists; office supervisors remain included.</x:v>
      </x:c>
    </x:row>
    <x:row r="458" ht="50.25" customHeight="1">
      <x:c r="A458" s="15" t="str">
        <x:v>780330</x:v>
      </x:c>
      <x:c r="B458" s="12" t="str">
        <x:v>Other office and administrative support workers</x:v>
      </x:c>
      <x:c r="C458" s="35" t="str">
        <x:v>43-5061.00</x:v>
      </x:c>
      <x:c r="D458" s="12" t="str">
        <x:v>Production, Planning, and Expediting Clerks</x:v>
      </x:c>
      <x:c r="E458" s="2" t="str">
        <x:v>Include</x:v>
      </x:c>
      <x:c r="F458" s="2" t="str">
        <x:v>Yes</x:v>
      </x:c>
      <x:c r="G458" s="15" t="str">
        <x:v>6/6</x:v>
      </x:c>
      <x:c r="H458" s="18" t="n">
        <x:v>4</x:v>
      </x:c>
      <x:c r="I458" s="18" t="n">
        <x:v>4.5</x:v>
      </x:c>
      <x:c r="J458" s="18" t="n">
        <x:v>3</x:v>
      </x:c>
      <x:c r="K458" s="18" t="n">
        <x:v>4.33</x:v>
      </x:c>
      <x:c r="L458" s="18" t="n">
        <x:v>4.67</x:v>
      </x:c>
      <x:c r="M458" s="18" t="n">
        <x:v>5.33</x:v>
      </x:c>
      <x:c r="N458" s="12" t="str">
        <x:v>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x:v>
      </x:c>
      <x:c r="O458" s="12" t="str">
        <x:v>https://www.onetonline.org/link/summary/43-5061.00</x:v>
      </x:c>
      <x:c r="P458" s="12" t="str">
        <x:v>SOC43 minus bookkeeping, secretaries/administrative assistants and receptionists; office supervisors remain included.</x:v>
      </x:c>
    </x:row>
    <x:row r="459" ht="50.25" customHeight="1">
      <x:c r="A459" s="15" t="str">
        <x:v>780330</x:v>
      </x:c>
      <x:c r="B459" s="12" t="str">
        <x:v>Other office and administrative support workers</x:v>
      </x:c>
      <x:c r="C459" s="35" t="str">
        <x:v>43-5071.00</x:v>
      </x:c>
      <x:c r="D459" s="12" t="str">
        <x:v>Shipping, Receiving, and Inventory Clerks</x:v>
      </x:c>
      <x:c r="E459" s="2" t="str">
        <x:v>Include</x:v>
      </x:c>
      <x:c r="F459" s="2" t="str">
        <x:v>Yes</x:v>
      </x:c>
      <x:c r="G459" s="15" t="str">
        <x:v>6/6</x:v>
      </x:c>
      <x:c r="H459" s="18" t="n">
        <x:v>2.67</x:v>
      </x:c>
      <x:c r="I459" s="18" t="n">
        <x:v>2.83</x:v>
      </x:c>
      <x:c r="J459" s="18" t="n">
        <x:v>2.67</x:v>
      </x:c>
      <x:c r="K459" s="18" t="n">
        <x:v>5.33</x:v>
      </x:c>
      <x:c r="L459" s="18" t="n">
        <x:v>4.33</x:v>
      </x:c>
      <x:c r="M459" s="18" t="n">
        <x:v>3</x:v>
      </x:c>
      <x:c r="N459" s="12" t="str">
        <x:v>Verify and maintain records on incoming and outgoing shipments involving inventory. Duties include verifying and recording incoming merchandise or material and arranging for the transportation of products. May prepare items for shipment.</x:v>
      </x:c>
      <x:c r="O459" s="12" t="str">
        <x:v>https://www.onetonline.org/link/summary/43-5071.00</x:v>
      </x:c>
      <x:c r="P459" s="12" t="str">
        <x:v>SOC43 minus bookkeeping, secretaries/administrative assistants and receptionists; office supervisors remain included.</x:v>
      </x:c>
    </x:row>
    <x:row r="460" ht="50.25" customHeight="1">
      <x:c r="A460" s="15" t="str">
        <x:v>780330</x:v>
      </x:c>
      <x:c r="B460" s="12" t="str">
        <x:v>Other office and administrative support workers</x:v>
      </x:c>
      <x:c r="C460" s="35" t="str">
        <x:v>43-5111.00</x:v>
      </x:c>
      <x:c r="D460" s="12" t="str">
        <x:v>Weighers, Measurers, Checkers, and Samplers, Recordkeeping</x:v>
      </x:c>
      <x:c r="E460" s="2" t="str">
        <x:v>Include</x:v>
      </x:c>
      <x:c r="F460" s="2" t="str">
        <x:v>Yes</x:v>
      </x:c>
      <x:c r="G460" s="15" t="str">
        <x:v>6/6</x:v>
      </x:c>
      <x:c r="H460" s="18" t="n">
        <x:v>2.33</x:v>
      </x:c>
      <x:c r="I460" s="18" t="n">
        <x:v>2.5</x:v>
      </x:c>
      <x:c r="J460" s="18" t="n">
        <x:v>2.33</x:v>
      </x:c>
      <x:c r="K460" s="18" t="n">
        <x:v>5</x:v>
      </x:c>
      <x:c r="L460" s="18" t="n">
        <x:v>4.33</x:v>
      </x:c>
      <x:c r="M460" s="18" t="n">
        <x:v>2.67</x:v>
      </x:c>
      <x:c r="N460" s="12" t="str">
        <x:v>Weigh, measure, and check materials, supplies, and equipment for the purpose of keeping relevant records. Duties are primarily clerical by nature. Includes workers who collect and keep record of samples of products or materials.</x:v>
      </x:c>
      <x:c r="O460" s="12" t="str">
        <x:v>https://www.onetonline.org/link/summary/43-5111.00</x:v>
      </x:c>
      <x:c r="P460" s="12" t="str">
        <x:v>SOC43 minus bookkeeping, secretaries/administrative assistants and receptionists; office supervisors remain included.</x:v>
      </x:c>
    </x:row>
    <x:row r="461" ht="50.25" customHeight="1">
      <x:c r="A461" s="15" t="str">
        <x:v>780330</x:v>
      </x:c>
      <x:c r="B461" s="12" t="str">
        <x:v>Other office and administrative support workers</x:v>
      </x:c>
      <x:c r="C461" s="35" t="str">
        <x:v>43-9021.00</x:v>
      </x:c>
      <x:c r="D461" s="12" t="str">
        <x:v>Data Entry Keyers</x:v>
      </x:c>
      <x:c r="E461" s="2" t="str">
        <x:v>Include</x:v>
      </x:c>
      <x:c r="F461" s="2" t="str">
        <x:v>Yes</x:v>
      </x:c>
      <x:c r="G461" s="15" t="str">
        <x:v>6/6</x:v>
      </x:c>
      <x:c r="H461" s="18" t="n">
        <x:v>2</x:v>
      </x:c>
      <x:c r="I461" s="18" t="n">
        <x:v>2.83</x:v>
      </x:c>
      <x:c r="J461" s="18" t="n">
        <x:v>1.67</x:v>
      </x:c>
      <x:c r="K461" s="18" t="n">
        <x:v>3.67</x:v>
      </x:c>
      <x:c r="L461" s="18" t="n">
        <x:v>4.33</x:v>
      </x:c>
      <x:c r="M461" s="18" t="n">
        <x:v>2</x:v>
      </x:c>
      <x:c r="N461" s="12" t="str">
        <x:v>Operate data entry device, such as keyboard or photo composing perforator. Duties may include verifying data and preparing materials for printing.</x:v>
      </x:c>
      <x:c r="O461" s="12" t="str">
        <x:v>https://www.onetonline.org/link/summary/43-9021.00</x:v>
      </x:c>
      <x:c r="P461" s="12" t="str">
        <x:v>SOC43 minus bookkeeping, secretaries/administrative assistants and receptionists; office supervisors remain included.</x:v>
      </x:c>
    </x:row>
    <x:row r="462" ht="50.25" customHeight="1">
      <x:c r="A462" s="15" t="str">
        <x:v>780330</x:v>
      </x:c>
      <x:c r="B462" s="12" t="str">
        <x:v>Other office and administrative support workers</x:v>
      </x:c>
      <x:c r="C462" s="35" t="str">
        <x:v>43-9022.00</x:v>
      </x:c>
      <x:c r="D462" s="12" t="str">
        <x:v>Word Processors and Typists</x:v>
      </x:c>
      <x:c r="E462" s="2" t="str">
        <x:v>Include</x:v>
      </x:c>
      <x:c r="F462" s="2" t="str">
        <x:v>Yes</x:v>
      </x:c>
      <x:c r="G462" s="15" t="str">
        <x:v>6/6</x:v>
      </x:c>
      <x:c r="H462" s="18" t="n">
        <x:v>2</x:v>
      </x:c>
      <x:c r="I462" s="18" t="n">
        <x:v>2.5</x:v>
      </x:c>
      <x:c r="J462" s="18" t="n">
        <x:v>2</x:v>
      </x:c>
      <x:c r="K462" s="18" t="n">
        <x:v>5</x:v>
      </x:c>
      <x:c r="L462" s="18" t="n">
        <x:v>4</x:v>
      </x:c>
      <x:c r="M462" s="18" t="n">
        <x:v>3.67</x:v>
      </x:c>
      <x:c r="N462" s="12" t="str">
        <x:v>Use word processor, computer, or typewriter to type letters, reports, forms, or other material from rough draft, corrected copy, or voice recording. May perform other clerical duties as assigned.</x:v>
      </x:c>
      <x:c r="O462" s="12" t="str">
        <x:v>https://www.onetonline.org/link/summary/43-9022.00</x:v>
      </x:c>
      <x:c r="P462" s="12" t="str">
        <x:v>SOC43 minus bookkeeping, secretaries/administrative assistants and receptionists; office supervisors remain included.</x:v>
      </x:c>
    </x:row>
    <x:row r="463" ht="50.25" customHeight="1">
      <x:c r="A463" s="15" t="str">
        <x:v>780330</x:v>
      </x:c>
      <x:c r="B463" s="12" t="str">
        <x:v>Other office and administrative support workers</x:v>
      </x:c>
      <x:c r="C463" s="35" t="str">
        <x:v>43-9031.00</x:v>
      </x:c>
      <x:c r="D463" s="12" t="str">
        <x:v>Desktop Publishers</x:v>
      </x:c>
      <x:c r="E463" s="2" t="str">
        <x:v>Include</x:v>
      </x:c>
      <x:c r="F463" s="2" t="str">
        <x:v>Yes</x:v>
      </x:c>
      <x:c r="G463" s="15" t="str">
        <x:v>6/6</x:v>
      </x:c>
      <x:c r="H463" s="18" t="n">
        <x:v>5</x:v>
      </x:c>
      <x:c r="I463" s="18" t="n">
        <x:v>3</x:v>
      </x:c>
      <x:c r="J463" s="18" t="n">
        <x:v>3.33</x:v>
      </x:c>
      <x:c r="K463" s="18" t="n">
        <x:v>2.67</x:v>
      </x:c>
      <x:c r="L463" s="18" t="n">
        <x:v>3.67</x:v>
      </x:c>
      <x:c r="M463" s="18" t="n">
        <x:v>3.33</x:v>
      </x:c>
      <x:c r="N463" s="12" t="str">
        <x:v>Format typescript and graphic elements using computer software to produce publication-ready material.</x:v>
      </x:c>
      <x:c r="O463" s="12" t="str">
        <x:v>https://www.onetonline.org/link/summary/43-9031.00</x:v>
      </x:c>
      <x:c r="P463" s="12" t="str">
        <x:v>SOC43 minus bookkeeping, secretaries/administrative assistants and receptionists; office supervisors remain included.</x:v>
      </x:c>
    </x:row>
    <x:row r="464" ht="50.25" customHeight="1">
      <x:c r="A464" s="15" t="str">
        <x:v>780330</x:v>
      </x:c>
      <x:c r="B464" s="12" t="str">
        <x:v>Other office and administrative support workers</x:v>
      </x:c>
      <x:c r="C464" s="35" t="str">
        <x:v>43-9041.00</x:v>
      </x:c>
      <x:c r="D464" s="12" t="str">
        <x:v>Insurance Claims and Policy Processing Clerks</x:v>
      </x:c>
      <x:c r="E464" s="2" t="str">
        <x:v>Include</x:v>
      </x:c>
      <x:c r="F464" s="2" t="str">
        <x:v>Yes</x:v>
      </x:c>
      <x:c r="G464" s="15" t="str">
        <x:v>6/6</x:v>
      </x:c>
      <x:c r="H464" s="18" t="n">
        <x:v>3</x:v>
      </x:c>
      <x:c r="I464" s="18" t="n">
        <x:v>3</x:v>
      </x:c>
      <x:c r="J464" s="18" t="n">
        <x:v>2.33</x:v>
      </x:c>
      <x:c r="K464" s="18" t="n">
        <x:v>4.67</x:v>
      </x:c>
      <x:c r="L464" s="18" t="n">
        <x:v>4.5</x:v>
      </x:c>
      <x:c r="M464" s="18" t="n">
        <x:v>3.33</x:v>
      </x:c>
      <x:c r="N464" s="12" t="str">
        <x:v>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x:v>
      </x:c>
      <x:c r="O464" s="12" t="str">
        <x:v>https://www.onetonline.org/link/summary/43-9041.00</x:v>
      </x:c>
      <x:c r="P464" s="12" t="str">
        <x:v>SOC43 minus bookkeeping, secretaries/administrative assistants and receptionists; office supervisors remain included.</x:v>
      </x:c>
    </x:row>
    <x:row r="465" ht="50.25" customHeight="1">
      <x:c r="A465" s="15" t="str">
        <x:v>780330</x:v>
      </x:c>
      <x:c r="B465" s="12" t="str">
        <x:v>Other office and administrative support workers</x:v>
      </x:c>
      <x:c r="C465" s="35" t="str">
        <x:v>43-9051.00</x:v>
      </x:c>
      <x:c r="D465" s="12" t="str">
        <x:v>Mail Clerks and Mail Machine Operators, Except Postal Service</x:v>
      </x:c>
      <x:c r="E465" s="2" t="str">
        <x:v>Include</x:v>
      </x:c>
      <x:c r="F465" s="2" t="str">
        <x:v>Yes</x:v>
      </x:c>
      <x:c r="G465" s="15" t="str">
        <x:v>6/6</x:v>
      </x:c>
      <x:c r="H465" s="18" t="n">
        <x:v>2</x:v>
      </x:c>
      <x:c r="I465" s="18" t="n">
        <x:v>2.17</x:v>
      </x:c>
      <x:c r="J465" s="18" t="n">
        <x:v>1.67</x:v>
      </x:c>
      <x:c r="K465" s="18" t="n">
        <x:v>2.33</x:v>
      </x:c>
      <x:c r="L465" s="18" t="n">
        <x:v>3.67</x:v>
      </x:c>
      <x:c r="M465" s="18" t="n">
        <x:v>2</x:v>
      </x:c>
      <x:c r="N465" s="12" t="str">
        <x:v>Prepare incoming and outgoing mail for distribution. Time-stamp, open, read, sort, and route incoming mail; and address, seal, stamp, fold, stuff, and affix postage to outgoing mail or packages. Duties may also include keeping necessary records and completed forms.</x:v>
      </x:c>
      <x:c r="O465" s="12" t="str">
        <x:v>https://www.onetonline.org/link/summary/43-9051.00</x:v>
      </x:c>
      <x:c r="P465" s="12" t="str">
        <x:v>SOC43 minus bookkeeping, secretaries/administrative assistants and receptionists; office supervisors remain included.</x:v>
      </x:c>
    </x:row>
    <x:row r="466" ht="50.25" customHeight="1">
      <x:c r="A466" s="15" t="str">
        <x:v>780330</x:v>
      </x:c>
      <x:c r="B466" s="12" t="str">
        <x:v>Other office and administrative support workers</x:v>
      </x:c>
      <x:c r="C466" s="35" t="str">
        <x:v>43-9061.00</x:v>
      </x:c>
      <x:c r="D466" s="12" t="str">
        <x:v>Office Clerks, General</x:v>
      </x:c>
      <x:c r="E466" s="2" t="str">
        <x:v>Include</x:v>
      </x:c>
      <x:c r="F466" s="2" t="str">
        <x:v>Yes</x:v>
      </x:c>
      <x:c r="G466" s="15" t="str">
        <x:v>6/6</x:v>
      </x:c>
      <x:c r="H466" s="18" t="n">
        <x:v>2.33</x:v>
      </x:c>
      <x:c r="I466" s="18" t="n">
        <x:v>2.5</x:v>
      </x:c>
      <x:c r="J466" s="18" t="n">
        <x:v>2.33</x:v>
      </x:c>
      <x:c r="K466" s="18" t="n">
        <x:v>5.67</x:v>
      </x:c>
      <x:c r="L466" s="18" t="n">
        <x:v>4.33</x:v>
      </x:c>
      <x:c r="M466" s="18" t="n">
        <x:v>2.67</x:v>
      </x:c>
      <x:c r="N466" s="12" t="str">
        <x:v>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x:v>
      </x:c>
      <x:c r="O466" s="12" t="str">
        <x:v>https://www.onetonline.org/link/summary/43-9061.00</x:v>
      </x:c>
      <x:c r="P466" s="12" t="str">
        <x:v>SOC43 minus bookkeeping, secretaries/administrative assistants and receptionists; office supervisors remain included.</x:v>
      </x:c>
    </x:row>
    <x:row r="467" ht="50.25" customHeight="1">
      <x:c r="A467" s="15" t="str">
        <x:v>780330</x:v>
      </x:c>
      <x:c r="B467" s="12" t="str">
        <x:v>Other office and administrative support workers</x:v>
      </x:c>
      <x:c r="C467" s="35" t="str">
        <x:v>43-9071.00</x:v>
      </x:c>
      <x:c r="D467" s="12" t="str">
        <x:v>Office Machine Operators, Except Computer</x:v>
      </x:c>
      <x:c r="E467" s="2" t="str">
        <x:v>Include</x:v>
      </x:c>
      <x:c r="F467" s="2" t="str">
        <x:v>Yes</x:v>
      </x:c>
      <x:c r="G467" s="15" t="str">
        <x:v>6/6</x:v>
      </x:c>
      <x:c r="H467" s="18" t="n">
        <x:v>2</x:v>
      </x:c>
      <x:c r="I467" s="18" t="n">
        <x:v>2.33</x:v>
      </x:c>
      <x:c r="J467" s="18" t="n">
        <x:v>2</x:v>
      </x:c>
      <x:c r="K467" s="18" t="n">
        <x:v>4</x:v>
      </x:c>
      <x:c r="L467" s="18" t="n">
        <x:v>4.33</x:v>
      </x:c>
      <x:c r="M467" s="18" t="n">
        <x:v>2.67</x:v>
      </x:c>
      <x:c r="N467" s="12" t="str">
        <x:v>Operate one or more of a variety of office machines, such as photocopying, photographic, and duplicating machines, or other office machines.</x:v>
      </x:c>
      <x:c r="O467" s="12" t="str">
        <x:v>https://www.onetonline.org/link/summary/43-9071.00</x:v>
      </x:c>
      <x:c r="P467" s="12" t="str">
        <x:v>SOC43 minus bookkeeping, secretaries/administrative assistants and receptionists; office supervisors remain included.</x:v>
      </x:c>
    </x:row>
    <x:row r="468" ht="50.25" customHeight="1">
      <x:c r="A468" s="15" t="str">
        <x:v>780330</x:v>
      </x:c>
      <x:c r="B468" s="12" t="str">
        <x:v>Other office and administrative support workers</x:v>
      </x:c>
      <x:c r="C468" s="35" t="str">
        <x:v>43-9081.00</x:v>
      </x:c>
      <x:c r="D468" s="12" t="str">
        <x:v>Proofreaders and Copy Markers</x:v>
      </x:c>
      <x:c r="E468" s="2" t="str">
        <x:v>Include</x:v>
      </x:c>
      <x:c r="F468" s="2" t="str">
        <x:v>Yes</x:v>
      </x:c>
      <x:c r="G468" s="15" t="str">
        <x:v>6/6</x:v>
      </x:c>
      <x:c r="H468" s="18" t="n">
        <x:v>3.67</x:v>
      </x:c>
      <x:c r="I468" s="18" t="n">
        <x:v>2.5</x:v>
      </x:c>
      <x:c r="J468" s="18" t="n">
        <x:v>3.67</x:v>
      </x:c>
      <x:c r="K468" s="18" t="n">
        <x:v>5.33</x:v>
      </x:c>
      <x:c r="L468" s="18" t="n">
        <x:v>3.67</x:v>
      </x:c>
      <x:c r="M468" s="18" t="n">
        <x:v>3.67</x:v>
      </x:c>
      <x:c r="N468" s="12" t="str">
        <x:v>Read transcript or proof type setup to detect and mark for correction any grammatical, typographical, or compositional errors. Excludes workers whose primary duty is editing copy. Includes proofreaders of braille.</x:v>
      </x:c>
      <x:c r="O468" s="12" t="str">
        <x:v>https://www.onetonline.org/link/summary/43-9081.00</x:v>
      </x:c>
      <x:c r="P468" s="12" t="str">
        <x:v>SOC43 minus bookkeeping, secretaries/administrative assistants and receptionists; office supervisors remain included.</x:v>
      </x:c>
    </x:row>
    <x:row r="469" ht="50.25" customHeight="1">
      <x:c r="A469" s="15" t="str">
        <x:v>780330</x:v>
      </x:c>
      <x:c r="B469" s="12" t="str">
        <x:v>Other office and administrative support workers</x:v>
      </x:c>
      <x:c r="C469" s="35" t="str">
        <x:v>43-9111.00</x:v>
      </x:c>
      <x:c r="D469" s="12" t="str">
        <x:v>Statistical Assistants</x:v>
      </x:c>
      <x:c r="E469" s="2" t="str">
        <x:v>Include</x:v>
      </x:c>
      <x:c r="F469" s="2" t="str">
        <x:v>Yes</x:v>
      </x:c>
      <x:c r="G469" s="15" t="str">
        <x:v>6/6</x:v>
      </x:c>
      <x:c r="H469" s="18" t="n">
        <x:v>3.33</x:v>
      </x:c>
      <x:c r="I469" s="18" t="n">
        <x:v>3.33</x:v>
      </x:c>
      <x:c r="J469" s="18" t="n">
        <x:v>2.67</x:v>
      </x:c>
      <x:c r="K469" s="18" t="n">
        <x:v>3.33</x:v>
      </x:c>
      <x:c r="L469" s="18" t="n">
        <x:v>4.33</x:v>
      </x:c>
      <x:c r="M469" s="18" t="n">
        <x:v>3</x:v>
      </x:c>
      <x:c r="N469" s="12" t="str">
        <x:v>Compile and compute data according to statistical formulas for use in statistical studies. May perform actuarial computations and compile charts and graphs for use by actuaries. Includes actuarial clerks.</x:v>
      </x:c>
      <x:c r="O469" s="12" t="str">
        <x:v>https://www.onetonline.org/link/summary/43-9111.00</x:v>
      </x:c>
      <x:c r="P469" s="12" t="str">
        <x:v>SOC43 minus bookkeeping, secretaries/administrative assistants and receptionists; office supervisors remain included.</x:v>
      </x:c>
    </x:row>
    <x:row r="470" ht="50.25" customHeight="1">
      <x:c r="A470" s="15" t="str">
        <x:v>780330</x:v>
      </x:c>
      <x:c r="B470" s="12" t="str">
        <x:v>Other office and administrative support workers</x:v>
      </x:c>
      <x:c r="C470" s="35" t="str">
        <x:v>43-9199.00</x:v>
      </x:c>
      <x:c r="D470" s="12" t="str">
        <x:v>Office and Administrative Support Workers, All Other</x:v>
      </x:c>
      <x:c r="E470" s="2" t="str">
        <x:v>Exclude (no Work Values)</x:v>
      </x:c>
      <x:c r="F470" s="2" t="str">
        <x:v>Yes</x:v>
      </x:c>
      <x:c r="G470" s="15" t="str">
        <x:v>0/6</x:v>
      </x:c>
      <x:c r="H470" s="18"/>
      <x:c r="I470" s="18"/>
      <x:c r="J470" s="18"/>
      <x:c r="K470" s="18"/>
      <x:c r="L470" s="18"/>
      <x:c r="M470" s="18"/>
      <x:c r="N470" s="12" t="str">
        <x:v>All office and administrative support workers not listed separately.</x:v>
      </x:c>
      <x:c r="O470" s="12" t="str">
        <x:v>https://www.onetonline.org/link/summary/43-9199.00</x:v>
      </x:c>
      <x:c r="P470" s="12" t="str">
        <x:v>SOC43 minus bookkeeping, secretaries/administrative assistants and receptionists; office supervisors remain included.</x:v>
      </x:c>
    </x:row>
    <x:row r="471" ht="37.5" customHeight="1">
      <x:c r="A471" s="15" t="str">
        <x:v>781100</x:v>
      </x:c>
      <x:c r="B471" s="12" t="str">
        <x:v>Farming, fishing, and forestry occupations</x:v>
      </x:c>
      <x:c r="C471" s="35" t="str">
        <x:v>45-1011.00</x:v>
      </x:c>
      <x:c r="D471" s="12" t="str">
        <x:v>First-Line Supervisors of Farming, Fishing, and Forestry Workers</x:v>
      </x:c>
      <x:c r="E471" s="2" t="str">
        <x:v>Include</x:v>
      </x:c>
      <x:c r="F471" s="2" t="str">
        <x:v>Yes</x:v>
      </x:c>
      <x:c r="G471" s="15" t="str">
        <x:v>6/6</x:v>
      </x:c>
      <x:c r="H471" s="18" t="n">
        <x:v>4.5</x:v>
      </x:c>
      <x:c r="I471" s="18" t="n">
        <x:v>4.25</x:v>
      </x:c>
      <x:c r="J471" s="18" t="n">
        <x:v>3.67</x:v>
      </x:c>
      <x:c r="K471" s="18" t="n">
        <x:v>4.33</x:v>
      </x:c>
      <x:c r="L471" s="18" t="n">
        <x:v>4.58</x:v>
      </x:c>
      <x:c r="M471" s="18" t="n">
        <x:v>5.17</x:v>
      </x:c>
      <x:c r="N471" s="12" t="str">
        <x:v>Directly supervise and coordinate the activities of agricultural, forestry, aquacultural, and related workers.</x:v>
      </x:c>
      <x:c r="O471" s="12" t="str">
        <x:v>https://www.onetonline.org/link/summary/45-1011.00</x:v>
      </x:c>
      <x:c r="P471" s="12" t="str">
        <x:v>SOC45 farming, fishing and forestry occupations.</x:v>
      </x:c>
    </x:row>
    <x:row r="472" ht="37.5" customHeight="1">
      <x:c r="A472" s="15" t="str">
        <x:v>781100</x:v>
      </x:c>
      <x:c r="B472" s="12" t="str">
        <x:v>Farming, fishing, and forestry occupations</x:v>
      </x:c>
      <x:c r="C472" s="35" t="str">
        <x:v>45-2011.00</x:v>
      </x:c>
      <x:c r="D472" s="12" t="str">
        <x:v>Agricultural Inspectors</x:v>
      </x:c>
      <x:c r="E472" s="2" t="str">
        <x:v>Include</x:v>
      </x:c>
      <x:c r="F472" s="2" t="str">
        <x:v>Yes</x:v>
      </x:c>
      <x:c r="G472" s="15" t="str">
        <x:v>6/6</x:v>
      </x:c>
      <x:c r="H472" s="18" t="n">
        <x:v>4.67</x:v>
      </x:c>
      <x:c r="I472" s="18" t="n">
        <x:v>4.17</x:v>
      </x:c>
      <x:c r="J472" s="18" t="n">
        <x:v>4.33</x:v>
      </x:c>
      <x:c r="K472" s="18" t="n">
        <x:v>3</x:v>
      </x:c>
      <x:c r="L472" s="18" t="n">
        <x:v>4.67</x:v>
      </x:c>
      <x:c r="M472" s="18" t="n">
        <x:v>4.67</x:v>
      </x:c>
      <x:c r="N472" s="12" t="str">
        <x:v>Inspect agricultural commodities, processing equipment, and facilities, and fish and logging operations, to ensure compliance with regulations and laws governing health, quality, and safety.</x:v>
      </x:c>
      <x:c r="O472" s="12" t="str">
        <x:v>https://www.onetonline.org/link/summary/45-2011.00</x:v>
      </x:c>
      <x:c r="P472" s="12" t="str">
        <x:v>SOC45 farming, fishing and forestry occupations.</x:v>
      </x:c>
    </x:row>
    <x:row r="473" ht="37.5" customHeight="1">
      <x:c r="A473" s="15" t="str">
        <x:v>781100</x:v>
      </x:c>
      <x:c r="B473" s="12" t="str">
        <x:v>Farming, fishing, and forestry occupations</x:v>
      </x:c>
      <x:c r="C473" s="35" t="str">
        <x:v>45-2021.00</x:v>
      </x:c>
      <x:c r="D473" s="12" t="str">
        <x:v>Animal Breeders</x:v>
      </x:c>
      <x:c r="E473" s="2" t="str">
        <x:v>Include</x:v>
      </x:c>
      <x:c r="F473" s="2" t="str">
        <x:v>Yes</x:v>
      </x:c>
      <x:c r="G473" s="15" t="str">
        <x:v>6/6</x:v>
      </x:c>
      <x:c r="H473" s="18" t="n">
        <x:v>3.67</x:v>
      </x:c>
      <x:c r="I473" s="18" t="n">
        <x:v>4</x:v>
      </x:c>
      <x:c r="J473" s="18" t="n">
        <x:v>2.33</x:v>
      </x:c>
      <x:c r="K473" s="18" t="n">
        <x:v>2</x:v>
      </x:c>
      <x:c r="L473" s="18" t="n">
        <x:v>3.67</x:v>
      </x:c>
      <x:c r="M473" s="18" t="n">
        <x:v>4.33</x:v>
      </x:c>
      <x:c r="N473" s="12" t="str">
        <x:v>Select and breed animals according to their genealogy, characteristics, and offspring. May require knowledge of artificial insemination techniques and equipment use. May involve keeping records on heats, birth intervals, or pedigree.</x:v>
      </x:c>
      <x:c r="O473" s="12" t="str">
        <x:v>https://www.onetonline.org/link/summary/45-2021.00</x:v>
      </x:c>
      <x:c r="P473" s="12" t="str">
        <x:v>SOC45 farming, fishing and forestry occupations.</x:v>
      </x:c>
    </x:row>
    <x:row r="474" ht="37.5" customHeight="1">
      <x:c r="A474" s="15" t="str">
        <x:v>781100</x:v>
      </x:c>
      <x:c r="B474" s="12" t="str">
        <x:v>Farming, fishing, and forestry occupations</x:v>
      </x:c>
      <x:c r="C474" s="35" t="str">
        <x:v>45-2041.00</x:v>
      </x:c>
      <x:c r="D474" s="12" t="str">
        <x:v>Graders and Sorters, Agricultural Products</x:v>
      </x:c>
      <x:c r="E474" s="2" t="str">
        <x:v>Include</x:v>
      </x:c>
      <x:c r="F474" s="2" t="str">
        <x:v>Yes</x:v>
      </x:c>
      <x:c r="G474" s="15" t="str">
        <x:v>6/6</x:v>
      </x:c>
      <x:c r="H474" s="18" t="n">
        <x:v>1</x:v>
      </x:c>
      <x:c r="I474" s="18" t="n">
        <x:v>2</x:v>
      </x:c>
      <x:c r="J474" s="18" t="n">
        <x:v>1</x:v>
      </x:c>
      <x:c r="K474" s="18" t="n">
        <x:v>2</x:v>
      </x:c>
      <x:c r="L474" s="18" t="n">
        <x:v>3.67</x:v>
      </x:c>
      <x:c r="M474" s="18" t="n">
        <x:v>2</x:v>
      </x:c>
      <x:c r="N474" s="12" t="str">
        <x:v>Grade, sort, or classify unprocessed food and other agricultural products by size, weight, color, or condition.</x:v>
      </x:c>
      <x:c r="O474" s="12" t="str">
        <x:v>https://www.onetonline.org/link/summary/45-2041.00</x:v>
      </x:c>
      <x:c r="P474" s="12" t="str">
        <x:v>SOC45 farming, fishing and forestry occupations.</x:v>
      </x:c>
    </x:row>
    <x:row r="475" ht="37.5" customHeight="1">
      <x:c r="A475" s="15" t="str">
        <x:v>781100</x:v>
      </x:c>
      <x:c r="B475" s="12" t="str">
        <x:v>Farming, fishing, and forestry occupations</x:v>
      </x:c>
      <x:c r="C475" s="35" t="str">
        <x:v>45-2091.00</x:v>
      </x:c>
      <x:c r="D475" s="12" t="str">
        <x:v>Agricultural Equipment Operators</x:v>
      </x:c>
      <x:c r="E475" s="2" t="str">
        <x:v>Include</x:v>
      </x:c>
      <x:c r="F475" s="2" t="str">
        <x:v>Yes</x:v>
      </x:c>
      <x:c r="G475" s="15" t="str">
        <x:v>6/6</x:v>
      </x:c>
      <x:c r="H475" s="18" t="n">
        <x:v>2.67</x:v>
      </x:c>
      <x:c r="I475" s="18" t="n">
        <x:v>2.17</x:v>
      </x:c>
      <x:c r="J475" s="18" t="n">
        <x:v>1.67</x:v>
      </x:c>
      <x:c r="K475" s="18" t="n">
        <x:v>2.33</x:v>
      </x:c>
      <x:c r="L475" s="18" t="n">
        <x:v>4.33</x:v>
      </x:c>
      <x:c r="M475" s="18" t="n">
        <x:v>3</x:v>
      </x:c>
      <x:c r="N475" s="12" t="str">
        <x:v>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x:v>
      </x:c>
      <x:c r="O475" s="12" t="str">
        <x:v>https://www.onetonline.org/link/summary/45-2091.00</x:v>
      </x:c>
      <x:c r="P475" s="12" t="str">
        <x:v>SOC45 farming, fishing and forestry occupations.</x:v>
      </x:c>
    </x:row>
    <x:row r="476" ht="37.5" customHeight="1">
      <x:c r="A476" s="15" t="str">
        <x:v>781100</x:v>
      </x:c>
      <x:c r="B476" s="12" t="str">
        <x:v>Farming, fishing, and forestry occupations</x:v>
      </x:c>
      <x:c r="C476" s="35" t="str">
        <x:v>45-2092.00</x:v>
      </x:c>
      <x:c r="D476" s="12" t="str">
        <x:v>Farmworkers and Laborers, Crop, Nursery, and Greenhouse</x:v>
      </x:c>
      <x:c r="E476" s="2" t="str">
        <x:v>Include</x:v>
      </x:c>
      <x:c r="F476" s="2" t="str">
        <x:v>Yes</x:v>
      </x:c>
      <x:c r="G476" s="15" t="str">
        <x:v>6/6</x:v>
      </x:c>
      <x:c r="H476" s="18" t="n">
        <x:v>2.33</x:v>
      </x:c>
      <x:c r="I476" s="18" t="n">
        <x:v>2.17</x:v>
      </x:c>
      <x:c r="J476" s="18" t="n">
        <x:v>1.5</x:v>
      </x:c>
      <x:c r="K476" s="18" t="n">
        <x:v>3.33</x:v>
      </x:c>
      <x:c r="L476" s="18" t="n">
        <x:v>4</x:v>
      </x:c>
      <x:c r="M476" s="18" t="n">
        <x:v>2</x:v>
      </x:c>
      <x:c r="N476" s="12" t="str">
        <x:v>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x:v>
      </x:c>
      <x:c r="O476" s="12" t="str">
        <x:v>https://www.onetonline.org/link/summary/45-2092.00</x:v>
      </x:c>
      <x:c r="P476" s="12" t="str">
        <x:v>SOC45 farming, fishing and forestry occupations.</x:v>
      </x:c>
    </x:row>
    <x:row r="477" ht="37.5" customHeight="1">
      <x:c r="A477" s="15" t="str">
        <x:v>781100</x:v>
      </x:c>
      <x:c r="B477" s="12" t="str">
        <x:v>Farming, fishing, and forestry occupations</x:v>
      </x:c>
      <x:c r="C477" s="35" t="str">
        <x:v>45-2093.00</x:v>
      </x:c>
      <x:c r="D477" s="12" t="str">
        <x:v>Farmworkers, Farm, Ranch, and Aquacultural Animals</x:v>
      </x:c>
      <x:c r="E477" s="2" t="str">
        <x:v>Include</x:v>
      </x:c>
      <x:c r="F477" s="2" t="str">
        <x:v>Yes</x:v>
      </x:c>
      <x:c r="G477" s="15" t="str">
        <x:v>6/6</x:v>
      </x:c>
      <x:c r="H477" s="18" t="n">
        <x:v>2</x:v>
      </x:c>
      <x:c r="I477" s="18" t="n">
        <x:v>2.17</x:v>
      </x:c>
      <x:c r="J477" s="18" t="n">
        <x:v>1.67</x:v>
      </x:c>
      <x:c r="K477" s="18" t="n">
        <x:v>3</x:v>
      </x:c>
      <x:c r="L477" s="18" t="n">
        <x:v>3.33</x:v>
      </x:c>
      <x:c r="M477" s="18" t="n">
        <x:v>2.33</x:v>
      </x:c>
      <x:c r="N477" s="12" t="str">
        <x:v>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x:v>
      </x:c>
      <x:c r="O477" s="12" t="str">
        <x:v>https://www.onetonline.org/link/summary/45-2093.00</x:v>
      </x:c>
      <x:c r="P477" s="12" t="str">
        <x:v>SOC45 farming, fishing and forestry occupations.</x:v>
      </x:c>
    </x:row>
    <x:row r="478" ht="37.5" customHeight="1">
      <x:c r="A478" s="15" t="str">
        <x:v>781100</x:v>
      </x:c>
      <x:c r="B478" s="12" t="str">
        <x:v>Farming, fishing, and forestry occupations</x:v>
      </x:c>
      <x:c r="C478" s="35" t="str">
        <x:v>45-2099.00</x:v>
      </x:c>
      <x:c r="D478" s="12" t="str">
        <x:v>Agricultural Workers, All Other</x:v>
      </x:c>
      <x:c r="E478" s="2" t="str">
        <x:v>Exclude (no Work Values)</x:v>
      </x:c>
      <x:c r="F478" s="2" t="str">
        <x:v>Yes</x:v>
      </x:c>
      <x:c r="G478" s="15" t="str">
        <x:v>0/6</x:v>
      </x:c>
      <x:c r="H478" s="18"/>
      <x:c r="I478" s="18"/>
      <x:c r="J478" s="18"/>
      <x:c r="K478" s="18"/>
      <x:c r="L478" s="18"/>
      <x:c r="M478" s="18"/>
      <x:c r="N478" s="12" t="str">
        <x:v>All agricultural workers not listed separately.</x:v>
      </x:c>
      <x:c r="O478" s="12" t="str">
        <x:v>https://www.onetonline.org/link/summary/45-2099.00</x:v>
      </x:c>
      <x:c r="P478" s="12" t="str">
        <x:v>SOC45 farming, fishing and forestry occupations.</x:v>
      </x:c>
    </x:row>
    <x:row r="479" ht="37.5" customHeight="1">
      <x:c r="A479" s="15" t="str">
        <x:v>781100</x:v>
      </x:c>
      <x:c r="B479" s="12" t="str">
        <x:v>Farming, fishing, and forestry occupations</x:v>
      </x:c>
      <x:c r="C479" s="35" t="str">
        <x:v>45-3031.00</x:v>
      </x:c>
      <x:c r="D479" s="12" t="str">
        <x:v>Fishing and Hunting Workers</x:v>
      </x:c>
      <x:c r="E479" s="2" t="str">
        <x:v>Include</x:v>
      </x:c>
      <x:c r="F479" s="2" t="str">
        <x:v>Yes</x:v>
      </x:c>
      <x:c r="G479" s="15" t="str">
        <x:v>6/6</x:v>
      </x:c>
      <x:c r="H479" s="18" t="n">
        <x:v>2.5</x:v>
      </x:c>
      <x:c r="I479" s="18" t="n">
        <x:v>2.83</x:v>
      </x:c>
      <x:c r="J479" s="18" t="n">
        <x:v>2</x:v>
      </x:c>
      <x:c r="K479" s="18" t="n">
        <x:v>3.17</x:v>
      </x:c>
      <x:c r="L479" s="18" t="n">
        <x:v>3</x:v>
      </x:c>
      <x:c r="M479" s="18" t="n">
        <x:v>4.5</x:v>
      </x:c>
      <x:c r="N479" s="12" t="str">
        <x:v>Hunt, trap, catch, or gather wild animals or aquatic animals and plants. May use nets, traps, or other equipment. May haul catch onto ship or other vessel.</x:v>
      </x:c>
      <x:c r="O479" s="12" t="str">
        <x:v>https://www.onetonline.org/link/summary/45-3031.00</x:v>
      </x:c>
      <x:c r="P479" s="12" t="str">
        <x:v>SOC45 farming, fishing and forestry occupations.</x:v>
      </x:c>
    </x:row>
    <x:row r="480" ht="37.5" customHeight="1">
      <x:c r="A480" s="15" t="str">
        <x:v>781100</x:v>
      </x:c>
      <x:c r="B480" s="12" t="str">
        <x:v>Farming, fishing, and forestry occupations</x:v>
      </x:c>
      <x:c r="C480" s="35" t="str">
        <x:v>45-4011.00</x:v>
      </x:c>
      <x:c r="D480" s="12" t="str">
        <x:v>Forest and Conservation Workers</x:v>
      </x:c>
      <x:c r="E480" s="2" t="str">
        <x:v>Include</x:v>
      </x:c>
      <x:c r="F480" s="2" t="str">
        <x:v>Yes</x:v>
      </x:c>
      <x:c r="G480" s="15" t="str">
        <x:v>6/6</x:v>
      </x:c>
      <x:c r="H480" s="18" t="n">
        <x:v>4</x:v>
      </x:c>
      <x:c r="I480" s="18" t="n">
        <x:v>2.83</x:v>
      </x:c>
      <x:c r="J480" s="18" t="n">
        <x:v>2.67</x:v>
      </x:c>
      <x:c r="K480" s="18" t="n">
        <x:v>4.33</x:v>
      </x:c>
      <x:c r="L480" s="18" t="n">
        <x:v>4</x:v>
      </x:c>
      <x:c r="M480" s="18" t="n">
        <x:v>4.33</x:v>
      </x:c>
      <x:c r="N480" s="12" t="str">
        <x:v>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x:v>
      </x:c>
      <x:c r="O480" s="12" t="str">
        <x:v>https://www.onetonline.org/link/summary/45-4011.00</x:v>
      </x:c>
      <x:c r="P480" s="12" t="str">
        <x:v>SOC45 farming, fishing and forestry occupations.</x:v>
      </x:c>
    </x:row>
    <x:row r="481" ht="37.5" customHeight="1">
      <x:c r="A481" s="15" t="str">
        <x:v>781100</x:v>
      </x:c>
      <x:c r="B481" s="12" t="str">
        <x:v>Farming, fishing, and forestry occupations</x:v>
      </x:c>
      <x:c r="C481" s="35" t="str">
        <x:v>45-4021.00</x:v>
      </x:c>
      <x:c r="D481" s="12" t="str">
        <x:v>Fallers</x:v>
      </x:c>
      <x:c r="E481" s="2" t="str">
        <x:v>Include</x:v>
      </x:c>
      <x:c r="F481" s="2" t="str">
        <x:v>Yes</x:v>
      </x:c>
      <x:c r="G481" s="15" t="str">
        <x:v>6/6</x:v>
      </x:c>
      <x:c r="H481" s="18" t="n">
        <x:v>3</x:v>
      </x:c>
      <x:c r="I481" s="18" t="n">
        <x:v>3.5</x:v>
      </x:c>
      <x:c r="J481" s="18" t="n">
        <x:v>2</x:v>
      </x:c>
      <x:c r="K481" s="18" t="n">
        <x:v>3.33</x:v>
      </x:c>
      <x:c r="L481" s="18" t="n">
        <x:v>5.67</x:v>
      </x:c>
      <x:c r="M481" s="18" t="n">
        <x:v>4</x:v>
      </x:c>
      <x:c r="N481" s="12" t="str">
        <x:v>Use axes or chainsaws to fell trees using knowledge of tree characteristics and cutting techniques to control direction of fall and minimize tree damage.</x:v>
      </x:c>
      <x:c r="O481" s="12" t="str">
        <x:v>https://www.onetonline.org/link/summary/45-4021.00</x:v>
      </x:c>
      <x:c r="P481" s="12" t="str">
        <x:v>SOC45 farming, fishing and forestry occupations.</x:v>
      </x:c>
    </x:row>
    <x:row r="482" ht="37.5" customHeight="1">
      <x:c r="A482" s="15" t="str">
        <x:v>781100</x:v>
      </x:c>
      <x:c r="B482" s="12" t="str">
        <x:v>Farming, fishing, and forestry occupations</x:v>
      </x:c>
      <x:c r="C482" s="35" t="str">
        <x:v>45-4022.00</x:v>
      </x:c>
      <x:c r="D482" s="12" t="str">
        <x:v>Logging Equipment Operators</x:v>
      </x:c>
      <x:c r="E482" s="2" t="str">
        <x:v>Include</x:v>
      </x:c>
      <x:c r="F482" s="2" t="str">
        <x:v>Yes</x:v>
      </x:c>
      <x:c r="G482" s="15" t="str">
        <x:v>6/6</x:v>
      </x:c>
      <x:c r="H482" s="18" t="n">
        <x:v>2.33</x:v>
      </x:c>
      <x:c r="I482" s="18" t="n">
        <x:v>3</x:v>
      </x:c>
      <x:c r="J482" s="18" t="n">
        <x:v>2</x:v>
      </x:c>
      <x:c r="K482" s="18" t="n">
        <x:v>3</x:v>
      </x:c>
      <x:c r="L482" s="18" t="n">
        <x:v>6</x:v>
      </x:c>
      <x:c r="M482" s="18" t="n">
        <x:v>3.67</x:v>
      </x:c>
      <x:c r="N482" s="12" t="str">
        <x:v>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x:v>
      </x:c>
      <x:c r="O482" s="12" t="str">
        <x:v>https://www.onetonline.org/link/summary/45-4022.00</x:v>
      </x:c>
      <x:c r="P482" s="12" t="str">
        <x:v>SOC45 farming, fishing and forestry occupations.</x:v>
      </x:c>
    </x:row>
    <x:row r="483" ht="37.5" customHeight="1">
      <x:c r="A483" s="15" t="str">
        <x:v>781100</x:v>
      </x:c>
      <x:c r="B483" s="12" t="str">
        <x:v>Farming, fishing, and forestry occupations</x:v>
      </x:c>
      <x:c r="C483" s="35" t="str">
        <x:v>45-4023.00</x:v>
      </x:c>
      <x:c r="D483" s="12" t="str">
        <x:v>Log Graders and Scalers</x:v>
      </x:c>
      <x:c r="E483" s="2" t="str">
        <x:v>Include</x:v>
      </x:c>
      <x:c r="F483" s="2" t="str">
        <x:v>Yes</x:v>
      </x:c>
      <x:c r="G483" s="15" t="str">
        <x:v>6/6</x:v>
      </x:c>
      <x:c r="H483" s="18" t="n">
        <x:v>2</x:v>
      </x:c>
      <x:c r="I483" s="18" t="n">
        <x:v>3.17</x:v>
      </x:c>
      <x:c r="J483" s="18" t="n">
        <x:v>2.33</x:v>
      </x:c>
      <x:c r="K483" s="18" t="n">
        <x:v>3</x:v>
      </x:c>
      <x:c r="L483" s="18" t="n">
        <x:v>4.33</x:v>
      </x:c>
      <x:c r="M483" s="18" t="n">
        <x:v>4.67</x:v>
      </x:c>
      <x:c r="N483" s="12" t="str">
        <x:v>Grade logs or estimate the marketable content or value of logs or pulpwood in sorting yards, millpond, log deck, or similar locations. Inspect logs for defects or measure logs to determine volume.</x:v>
      </x:c>
      <x:c r="O483" s="12" t="str">
        <x:v>https://www.onetonline.org/link/summary/45-4023.00</x:v>
      </x:c>
      <x:c r="P483" s="12" t="str">
        <x:v>SOC45 farming, fishing and forestry occupations.</x:v>
      </x:c>
    </x:row>
    <x:row r="484" ht="37.5" customHeight="1">
      <x:c r="A484" s="15" t="str">
        <x:v>781100</x:v>
      </x:c>
      <x:c r="B484" s="12" t="str">
        <x:v>Farming, fishing, and forestry occupations</x:v>
      </x:c>
      <x:c r="C484" s="35" t="str">
        <x:v>45-4029.00</x:v>
      </x:c>
      <x:c r="D484" s="12" t="str">
        <x:v>Logging Workers, All Other</x:v>
      </x:c>
      <x:c r="E484" s="2" t="str">
        <x:v>Exclude (no Work Values)</x:v>
      </x:c>
      <x:c r="F484" s="2" t="str">
        <x:v>Yes</x:v>
      </x:c>
      <x:c r="G484" s="15" t="str">
        <x:v>0/6</x:v>
      </x:c>
      <x:c r="H484" s="18"/>
      <x:c r="I484" s="18"/>
      <x:c r="J484" s="18"/>
      <x:c r="K484" s="18"/>
      <x:c r="L484" s="18"/>
      <x:c r="M484" s="18"/>
      <x:c r="N484" s="12" t="str">
        <x:v>All logging workers not listed separately.</x:v>
      </x:c>
      <x:c r="O484" s="12" t="str">
        <x:v>https://www.onetonline.org/link/summary/45-4029.00</x:v>
      </x:c>
      <x:c r="P484" s="12" t="str">
        <x:v>SOC45 farming, fishing and forestry occupations.</x:v>
      </x:c>
    </x:row>
    <x:row r="485" ht="36" customHeight="1">
      <x:c r="A485" s="15" t="str">
        <x:v>781200</x:v>
      </x:c>
      <x:c r="B485" s="12" t="str">
        <x:v>Lawyers, judges, and related workers</x:v>
      </x:c>
      <x:c r="C485" s="35" t="str">
        <x:v>23-1011.00</x:v>
      </x:c>
      <x:c r="D485" s="12" t="str">
        <x:v>Lawyers</x:v>
      </x:c>
      <x:c r="E485" s="2" t="str">
        <x:v>Include</x:v>
      </x:c>
      <x:c r="F485" s="2" t="str">
        <x:v>Yes</x:v>
      </x:c>
      <x:c r="G485" s="15" t="str">
        <x:v>6/6</x:v>
      </x:c>
      <x:c r="H485" s="18" t="n">
        <x:v>6</x:v>
      </x:c>
      <x:c r="I485" s="18" t="n">
        <x:v>6</x:v>
      </x:c>
      <x:c r="J485" s="18" t="n">
        <x:v>6.33</x:v>
      </x:c>
      <x:c r="K485" s="18" t="n">
        <x:v>4</x:v>
      </x:c>
      <x:c r="L485" s="18" t="n">
        <x:v>4.33</x:v>
      </x:c>
      <x:c r="M485" s="18" t="n">
        <x:v>6</x:v>
      </x:c>
      <x:c r="N485" s="12" t="str">
        <x:v>Represent clients in criminal and civil litigation and other legal proceedings, draw up legal documents, or manage or advise clients on legal transactions. May specialize in a single area or may practice broadly in many areas of law.</x:v>
      </x:c>
      <x:c r="O485" s="12" t="str">
        <x:v>https://www.onetonline.org/link/summary/23-1011.00</x:v>
      </x:c>
      <x:c r="P485" s="12" t="str">
        <x:v>SOC23-1000 lawyers, judges and related workers.</x:v>
      </x:c>
    </x:row>
    <x:row r="486" ht="36" customHeight="1">
      <x:c r="A486" s="15" t="str">
        <x:v>781200</x:v>
      </x:c>
      <x:c r="B486" s="12" t="str">
        <x:v>Lawyers, judges, and related workers</x:v>
      </x:c>
      <x:c r="C486" s="35" t="str">
        <x:v>23-1012.00</x:v>
      </x:c>
      <x:c r="D486" s="12" t="str">
        <x:v>Judicial Law Clerks</x:v>
      </x:c>
      <x:c r="E486" s="2" t="str">
        <x:v>Include</x:v>
      </x:c>
      <x:c r="F486" s="2" t="str">
        <x:v>Yes</x:v>
      </x:c>
      <x:c r="G486" s="15" t="str">
        <x:v>6/6</x:v>
      </x:c>
      <x:c r="H486" s="18" t="n">
        <x:v>5</x:v>
      </x:c>
      <x:c r="I486" s="18" t="n">
        <x:v>4.33</x:v>
      </x:c>
      <x:c r="J486" s="18" t="n">
        <x:v>3.67</x:v>
      </x:c>
      <x:c r="K486" s="18" t="n">
        <x:v>3.67</x:v>
      </x:c>
      <x:c r="L486" s="18" t="n">
        <x:v>4.33</x:v>
      </x:c>
      <x:c r="M486" s="18" t="n">
        <x:v>3</x:v>
      </x:c>
      <x:c r="N486" s="12" t="str">
        <x:v>Assist judges in court or by conducting research or preparing legal documents.</x:v>
      </x:c>
      <x:c r="O486" s="12" t="str">
        <x:v>https://www.onetonline.org/link/summary/23-1012.00</x:v>
      </x:c>
      <x:c r="P486" s="12" t="str">
        <x:v>SOC23-1000 lawyers, judges and related workers.</x:v>
      </x:c>
    </x:row>
    <x:row r="487" ht="36" customHeight="1">
      <x:c r="A487" s="15" t="str">
        <x:v>781200</x:v>
      </x:c>
      <x:c r="B487" s="12" t="str">
        <x:v>Lawyers, judges, and related workers</x:v>
      </x:c>
      <x:c r="C487" s="35" t="str">
        <x:v>23-1021.00</x:v>
      </x:c>
      <x:c r="D487" s="12" t="str">
        <x:v>Administrative Law Judges, Adjudicators, and Hearing Officers</x:v>
      </x:c>
      <x:c r="E487" s="2" t="str">
        <x:v>Include</x:v>
      </x:c>
      <x:c r="F487" s="2" t="str">
        <x:v>Yes</x:v>
      </x:c>
      <x:c r="G487" s="15" t="str">
        <x:v>6/6</x:v>
      </x:c>
      <x:c r="H487" s="18" t="n">
        <x:v>5.67</x:v>
      </x:c>
      <x:c r="I487" s="18" t="n">
        <x:v>5.5</x:v>
      </x:c>
      <x:c r="J487" s="18" t="n">
        <x:v>5.67</x:v>
      </x:c>
      <x:c r="K487" s="18" t="n">
        <x:v>4.67</x:v>
      </x:c>
      <x:c r="L487" s="18" t="n">
        <x:v>4.33</x:v>
      </x:c>
      <x:c r="M487" s="18" t="n">
        <x:v>5.33</x:v>
      </x:c>
      <x:c r="N487" s="12" t="str">
        <x:v>Conduct hearings to recommend or make decisions on claims concerning government programs or other government-related matters. Determine liability, sanctions, or penalties, or recommend the acceptance or rejection of claims or settlements.</x:v>
      </x:c>
      <x:c r="O487" s="12" t="str">
        <x:v>https://www.onetonline.org/link/summary/23-1021.00</x:v>
      </x:c>
      <x:c r="P487" s="12" t="str">
        <x:v>SOC23-1000 lawyers, judges and related workers.</x:v>
      </x:c>
    </x:row>
    <x:row r="488" ht="36" customHeight="1">
      <x:c r="A488" s="15" t="str">
        <x:v>781200</x:v>
      </x:c>
      <x:c r="B488" s="12" t="str">
        <x:v>Lawyers, judges, and related workers</x:v>
      </x:c>
      <x:c r="C488" s="35" t="str">
        <x:v>23-1022.00</x:v>
      </x:c>
      <x:c r="D488" s="12" t="str">
        <x:v>Arbitrators, Mediators, and Conciliators</x:v>
      </x:c>
      <x:c r="E488" s="2" t="str">
        <x:v>Include</x:v>
      </x:c>
      <x:c r="F488" s="2" t="str">
        <x:v>Yes</x:v>
      </x:c>
      <x:c r="G488" s="15" t="str">
        <x:v>6/6</x:v>
      </x:c>
      <x:c r="H488" s="18" t="n">
        <x:v>5.33</x:v>
      </x:c>
      <x:c r="I488" s="18" t="n">
        <x:v>4.5</x:v>
      </x:c>
      <x:c r="J488" s="18" t="n">
        <x:v>5</x:v>
      </x:c>
      <x:c r="K488" s="18" t="n">
        <x:v>6.33</x:v>
      </x:c>
      <x:c r="L488" s="18" t="n">
        <x:v>3.33</x:v>
      </x:c>
      <x:c r="M488" s="18" t="n">
        <x:v>5.33</x:v>
      </x:c>
      <x:c r="N488" s="12" t="str">
        <x:v>Facilitate negotiation and conflict resolution through dialogue. Resolve conflicts outside of the court system by mutual consent of parties involved.</x:v>
      </x:c>
      <x:c r="O488" s="12" t="str">
        <x:v>https://www.onetonline.org/link/summary/23-1022.00</x:v>
      </x:c>
      <x:c r="P488" s="12" t="str">
        <x:v>SOC23-1000 lawyers, judges and related workers.</x:v>
      </x:c>
    </x:row>
    <x:row r="489" ht="36" customHeight="1">
      <x:c r="A489" s="15" t="str">
        <x:v>781200</x:v>
      </x:c>
      <x:c r="B489" s="12" t="str">
        <x:v>Lawyers, judges, and related workers</x:v>
      </x:c>
      <x:c r="C489" s="35" t="str">
        <x:v>23-1023.00</x:v>
      </x:c>
      <x:c r="D489" s="12" t="str">
        <x:v>Judges, Magistrate Judges, and Magistrates</x:v>
      </x:c>
      <x:c r="E489" s="2" t="str">
        <x:v>Include</x:v>
      </x:c>
      <x:c r="F489" s="2" t="str">
        <x:v>Yes</x:v>
      </x:c>
      <x:c r="G489" s="15" t="str">
        <x:v>6/6</x:v>
      </x:c>
      <x:c r="H489" s="18" t="n">
        <x:v>6.33</x:v>
      </x:c>
      <x:c r="I489" s="18" t="n">
        <x:v>6.33</x:v>
      </x:c>
      <x:c r="J489" s="18" t="n">
        <x:v>6.33</x:v>
      </x:c>
      <x:c r="K489" s="18" t="n">
        <x:v>6.67</x:v>
      </x:c>
      <x:c r="L489" s="18" t="n">
        <x:v>4.33</x:v>
      </x:c>
      <x:c r="M489" s="18" t="n">
        <x:v>7</x:v>
      </x:c>
      <x:c r="N489" s="12" t="str">
        <x:v>Arbitrate, advise, adjudicate, or administer justice in a court of law. May sentence defendant in criminal cases according to government statutes or sentencing guidelines. May determine liability of defendant in civil cases. May perform wedding ceremonies.</x:v>
      </x:c>
      <x:c r="O489" s="12" t="str">
        <x:v>https://www.onetonline.org/link/summary/23-1023.00</x:v>
      </x:c>
      <x:c r="P489" s="12" t="str">
        <x:v>SOC23-1000 lawyers, judges and related workers.</x:v>
      </x:c>
    </x:row>
    <x:row r="490" ht="37.5" customHeight="1">
      <x:c r="A490" s="15" t="str">
        <x:v>781250</x:v>
      </x:c>
      <x:c r="B490" s="12" t="str">
        <x:v>Legal support workers (e.g., paralegals, legal assistants)</x:v>
      </x:c>
      <x:c r="C490" s="35" t="str">
        <x:v>23-2011.00</x:v>
      </x:c>
      <x:c r="D490" s="12" t="str">
        <x:v>Paralegals and Legal Assistants</x:v>
      </x:c>
      <x:c r="E490" s="2" t="str">
        <x:v>Include</x:v>
      </x:c>
      <x:c r="F490" s="2" t="str">
        <x:v>Yes</x:v>
      </x:c>
      <x:c r="G490" s="15" t="str">
        <x:v>6/6</x:v>
      </x:c>
      <x:c r="H490" s="18" t="n">
        <x:v>4</x:v>
      </x:c>
      <x:c r="I490" s="18" t="n">
        <x:v>4.33</x:v>
      </x:c>
      <x:c r="J490" s="18" t="n">
        <x:v>3.67</x:v>
      </x:c>
      <x:c r="K490" s="18" t="n">
        <x:v>5</x:v>
      </x:c>
      <x:c r="L490" s="18" t="n">
        <x:v>4.33</x:v>
      </x:c>
      <x:c r="M490" s="18" t="n">
        <x:v>3</x:v>
      </x:c>
      <x:c r="N490" s="12" t="str">
        <x:v>Assist lawyers by investigating facts, preparing legal documents, or researching legal precedent. Conduct research to support a legal proceeding, to formulate a defense, or to initiate legal action.</x:v>
      </x:c>
      <x:c r="O490" s="12" t="str">
        <x:v>https://www.onetonline.org/link/summary/23-2011.00</x:v>
      </x:c>
      <x:c r="P490" s="12" t="str">
        <x:v>SOC23-2000 legal support occupations.</x:v>
      </x:c>
    </x:row>
    <x:row r="491" ht="37.5" customHeight="1">
      <x:c r="A491" s="15" t="str">
        <x:v>781250</x:v>
      </x:c>
      <x:c r="B491" s="12" t="str">
        <x:v>Legal support workers (e.g., paralegals, legal assistants)</x:v>
      </x:c>
      <x:c r="C491" s="35" t="str">
        <x:v>23-2093.00</x:v>
      </x:c>
      <x:c r="D491" s="12" t="str">
        <x:v>Title Examiners, Abstractors, and Searchers</x:v>
      </x:c>
      <x:c r="E491" s="2" t="str">
        <x:v>Include</x:v>
      </x:c>
      <x:c r="F491" s="2" t="str">
        <x:v>Yes</x:v>
      </x:c>
      <x:c r="G491" s="15" t="str">
        <x:v>6/6</x:v>
      </x:c>
      <x:c r="H491" s="18" t="n">
        <x:v>4</x:v>
      </x:c>
      <x:c r="I491" s="18" t="n">
        <x:v>4</x:v>
      </x:c>
      <x:c r="J491" s="18" t="n">
        <x:v>2.67</x:v>
      </x:c>
      <x:c r="K491" s="18" t="n">
        <x:v>3.67</x:v>
      </x:c>
      <x:c r="L491" s="18" t="n">
        <x:v>5</x:v>
      </x:c>
      <x:c r="M491" s="18" t="n">
        <x:v>4</x:v>
      </x:c>
      <x:c r="N491" s="12" t="str">
        <x:v>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x:v>
      </x:c>
      <x:c r="O491" s="12" t="str">
        <x:v>https://www.onetonline.org/link/summary/23-2093.00</x:v>
      </x:c>
      <x:c r="P491" s="12" t="str">
        <x:v>SOC23-2000 legal support occupations.</x:v>
      </x:c>
    </x:row>
    <x:row r="492" ht="37.5" customHeight="1">
      <x:c r="A492" s="15" t="str">
        <x:v>781250</x:v>
      </x:c>
      <x:c r="B492" s="12" t="str">
        <x:v>Legal support workers (e.g., paralegals, legal assistants)</x:v>
      </x:c>
      <x:c r="C492" s="35" t="str">
        <x:v>23-2099.00</x:v>
      </x:c>
      <x:c r="D492" s="12" t="str">
        <x:v>Legal Support Workers, All Other</x:v>
      </x:c>
      <x:c r="E492" s="2" t="str">
        <x:v>Exclude (no Work Values)</x:v>
      </x:c>
      <x:c r="F492" s="2" t="str">
        <x:v>Yes</x:v>
      </x:c>
      <x:c r="G492" s="15" t="str">
        <x:v>0/6</x:v>
      </x:c>
      <x:c r="H492" s="18"/>
      <x:c r="I492" s="18"/>
      <x:c r="J492" s="18"/>
      <x:c r="K492" s="18"/>
      <x:c r="L492" s="18"/>
      <x:c r="M492" s="18"/>
      <x:c r="N492" s="12" t="str">
        <x:v>All legal support workers not listed separately.</x:v>
      </x:c>
      <x:c r="O492" s="12" t="str">
        <x:v>https://www.onetonline.org/link/summary/23-2099.00</x:v>
      </x:c>
      <x:c r="P492" s="12" t="str">
        <x:v>SOC23-2000 legal support occupations.</x:v>
      </x:c>
    </x:row>
    <x:row r="493" ht="37.5" customHeight="1">
      <x:c r="A493" s="15" t="str">
        <x:v>781300</x:v>
      </x:c>
      <x:c r="B493" s="12" t="str">
        <x:v>Librarians, archivists, and curators</x:v>
      </x:c>
      <x:c r="C493" s="35" t="str">
        <x:v>25-4011.00</x:v>
      </x:c>
      <x:c r="D493" s="12" t="str">
        <x:v>Archivists</x:v>
      </x:c>
      <x:c r="E493" s="2" t="str">
        <x:v>Include</x:v>
      </x:c>
      <x:c r="F493" s="2" t="str">
        <x:v>Yes</x:v>
      </x:c>
      <x:c r="G493" s="15" t="str">
        <x:v>6/6</x:v>
      </x:c>
      <x:c r="H493" s="18" t="n">
        <x:v>4.67</x:v>
      </x:c>
      <x:c r="I493" s="18" t="n">
        <x:v>3.5</x:v>
      </x:c>
      <x:c r="J493" s="18" t="n">
        <x:v>4.33</x:v>
      </x:c>
      <x:c r="K493" s="18" t="n">
        <x:v>4.33</x:v>
      </x:c>
      <x:c r="L493" s="18" t="n">
        <x:v>3</x:v>
      </x:c>
      <x:c r="M493" s="18" t="n">
        <x:v>5</x:v>
      </x:c>
      <x:c r="N493" s="12" t="str">
        <x:v>Appraise, edit, and direct safekeeping of permanent records and historically valuable documents. Participate in research activities based on archival materials.</x:v>
      </x:c>
      <x:c r="O493" s="12" t="str">
        <x:v>https://www.onetonline.org/link/summary/25-4011.00</x:v>
      </x:c>
      <x:c r="P493" s="12" t="str">
        <x:v>All five SOC25-4000 occupations, including library and museum technicians.</x:v>
      </x:c>
    </x:row>
    <x:row r="494" ht="37.5" customHeight="1">
      <x:c r="A494" s="15" t="str">
        <x:v>781300</x:v>
      </x:c>
      <x:c r="B494" s="12" t="str">
        <x:v>Librarians, archivists, and curators</x:v>
      </x:c>
      <x:c r="C494" s="35" t="str">
        <x:v>25-4012.00</x:v>
      </x:c>
      <x:c r="D494" s="12" t="str">
        <x:v>Curators</x:v>
      </x:c>
      <x:c r="E494" s="2" t="str">
        <x:v>Include</x:v>
      </x:c>
      <x:c r="F494" s="2" t="str">
        <x:v>Yes</x:v>
      </x:c>
      <x:c r="G494" s="15" t="str">
        <x:v>6/6</x:v>
      </x:c>
      <x:c r="H494" s="18" t="n">
        <x:v>5.67</x:v>
      </x:c>
      <x:c r="I494" s="18" t="n">
        <x:v>5.33</x:v>
      </x:c>
      <x:c r="J494" s="18" t="n">
        <x:v>5</x:v>
      </x:c>
      <x:c r="K494" s="18" t="n">
        <x:v>4</x:v>
      </x:c>
      <x:c r="L494" s="18" t="n">
        <x:v>3.33</x:v>
      </x:c>
      <x:c r="M494" s="18" t="n">
        <x:v>6</x:v>
      </x:c>
      <x:c r="N494" s="12" t="str">
        <x:v>Administer collections, such as artwork, collectibles, historic items, or scientific specimens of museums or other institutions. May conduct instructional, research, or public service activities of institution.</x:v>
      </x:c>
      <x:c r="O494" s="12" t="str">
        <x:v>https://www.onetonline.org/link/summary/25-4012.00</x:v>
      </x:c>
      <x:c r="P494" s="12" t="str">
        <x:v>All five SOC25-4000 occupations, including library and museum technicians.</x:v>
      </x:c>
    </x:row>
    <x:row r="495" ht="37.5" customHeight="1">
      <x:c r="A495" s="15" t="str">
        <x:v>781300</x:v>
      </x:c>
      <x:c r="B495" s="12" t="str">
        <x:v>Librarians, archivists, and curators</x:v>
      </x:c>
      <x:c r="C495" s="35" t="str">
        <x:v>25-4013.00</x:v>
      </x:c>
      <x:c r="D495" s="12" t="str">
        <x:v>Museum Technicians and Conservators</x:v>
      </x:c>
      <x:c r="E495" s="2" t="str">
        <x:v>Include</x:v>
      </x:c>
      <x:c r="F495" s="2" t="str">
        <x:v>Yes</x:v>
      </x:c>
      <x:c r="G495" s="15" t="str">
        <x:v>6/6</x:v>
      </x:c>
      <x:c r="H495" s="18" t="n">
        <x:v>4.67</x:v>
      </x:c>
      <x:c r="I495" s="18" t="n">
        <x:v>4.33</x:v>
      </x:c>
      <x:c r="J495" s="18" t="n">
        <x:v>3.67</x:v>
      </x:c>
      <x:c r="K495" s="18" t="n">
        <x:v>4.67</x:v>
      </x:c>
      <x:c r="L495" s="18" t="n">
        <x:v>4.33</x:v>
      </x:c>
      <x:c r="M495" s="18" t="n">
        <x:v>4.33</x:v>
      </x:c>
      <x:c r="N495" s="12" t="str">
        <x:v>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x:v>
      </x:c>
      <x:c r="O495" s="12" t="str">
        <x:v>https://www.onetonline.org/link/summary/25-4013.00</x:v>
      </x:c>
      <x:c r="P495" s="12" t="str">
        <x:v>All five SOC25-4000 occupations, including library and museum technicians.</x:v>
      </x:c>
    </x:row>
    <x:row r="496" ht="37.5" customHeight="1">
      <x:c r="A496" s="15" t="str">
        <x:v>781300</x:v>
      </x:c>
      <x:c r="B496" s="12" t="str">
        <x:v>Librarians, archivists, and curators</x:v>
      </x:c>
      <x:c r="C496" s="35" t="str">
        <x:v>25-4022.00</x:v>
      </x:c>
      <x:c r="D496" s="12" t="str">
        <x:v>Librarians and Media Collections Specialists</x:v>
      </x:c>
      <x:c r="E496" s="2" t="str">
        <x:v>Include</x:v>
      </x:c>
      <x:c r="F496" s="2" t="str">
        <x:v>Yes</x:v>
      </x:c>
      <x:c r="G496" s="15" t="str">
        <x:v>6/6</x:v>
      </x:c>
      <x:c r="H496" s="18" t="n">
        <x:v>4.67</x:v>
      </x:c>
      <x:c r="I496" s="18" t="n">
        <x:v>5.42</x:v>
      </x:c>
      <x:c r="J496" s="18" t="n">
        <x:v>3.67</x:v>
      </x:c>
      <x:c r="K496" s="18" t="n">
        <x:v>5.83</x:v>
      </x:c>
      <x:c r="L496" s="18" t="n">
        <x:v>4.17</x:v>
      </x:c>
      <x:c r="M496" s="18" t="n">
        <x:v>5.17</x:v>
      </x:c>
      <x:c r="N496" s="12" t="str">
        <x:v>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x:v>
      </x:c>
      <x:c r="O496" s="12" t="str">
        <x:v>https://www.onetonline.org/link/summary/25-4022.00</x:v>
      </x:c>
      <x:c r="P496" s="12" t="str">
        <x:v>All five SOC25-4000 occupations, including library and museum technicians.</x:v>
      </x:c>
    </x:row>
    <x:row r="497" ht="37.5" customHeight="1">
      <x:c r="A497" s="15" t="str">
        <x:v>781300</x:v>
      </x:c>
      <x:c r="B497" s="12" t="str">
        <x:v>Librarians, archivists, and curators</x:v>
      </x:c>
      <x:c r="C497" s="35" t="str">
        <x:v>25-4031.00</x:v>
      </x:c>
      <x:c r="D497" s="12" t="str">
        <x:v>Library Technicians</x:v>
      </x:c>
      <x:c r="E497" s="2" t="str">
        <x:v>Include</x:v>
      </x:c>
      <x:c r="F497" s="2" t="str">
        <x:v>Yes</x:v>
      </x:c>
      <x:c r="G497" s="15" t="str">
        <x:v>6/6</x:v>
      </x:c>
      <x:c r="H497" s="18" t="n">
        <x:v>3</x:v>
      </x:c>
      <x:c r="I497" s="18" t="n">
        <x:v>4</x:v>
      </x:c>
      <x:c r="J497" s="18" t="n">
        <x:v>2.33</x:v>
      </x:c>
      <x:c r="K497" s="18" t="n">
        <x:v>5.33</x:v>
      </x:c>
      <x:c r="L497" s="18" t="n">
        <x:v>4.67</x:v>
      </x:c>
      <x:c r="M497" s="18" t="n">
        <x:v>3.67</x:v>
      </x:c>
      <x:c r="N497" s="12" t="str">
        <x:v>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x:v>
      </x:c>
      <x:c r="O497" s="12" t="str">
        <x:v>https://www.onetonline.org/link/summary/25-4031.00</x:v>
      </x:c>
      <x:c r="P497" s="12" t="str">
        <x:v>All five SOC25-4000 occupations, including library and museum technicians.</x:v>
      </x:c>
    </x:row>
    <x:row r="498" ht="37.5" customHeight="1">
      <x:c r="A498" s="15" t="str">
        <x:v>782210</x:v>
      </x:c>
      <x:c r="B498" s="12" t="str">
        <x:v>Food preparation and service occupations (e.g., cooks, waitresses, bartenders)</x:v>
      </x:c>
      <x:c r="C498" s="35" t="str">
        <x:v>35-1011.00</x:v>
      </x:c>
      <x:c r="D498" s="12" t="str">
        <x:v>Chefs and Head Cooks</x:v>
      </x:c>
      <x:c r="E498" s="2" t="str">
        <x:v>Include</x:v>
      </x:c>
      <x:c r="F498" s="2" t="str">
        <x:v>Yes</x:v>
      </x:c>
      <x:c r="G498" s="15" t="str">
        <x:v>6/6</x:v>
      </x:c>
      <x:c r="H498" s="18" t="n">
        <x:v>5</x:v>
      </x:c>
      <x:c r="I498" s="18" t="n">
        <x:v>4.5</x:v>
      </x:c>
      <x:c r="J498" s="18" t="n">
        <x:v>5.33</x:v>
      </x:c>
      <x:c r="K498" s="18" t="n">
        <x:v>4.67</x:v>
      </x:c>
      <x:c r="L498" s="18" t="n">
        <x:v>3.67</x:v>
      </x:c>
      <x:c r="M498" s="18" t="n">
        <x:v>6</x:v>
      </x:c>
      <x:c r="N498" s="12" t="str">
        <x:v>Direct and may participate in the preparation, seasoning, and cooking of salads, soups, fish, meats, vegetables, desserts, or other foods. May plan and price menu items, order supplies, and keep records and accounts.</x:v>
      </x:c>
      <x:c r="O498" s="12" t="str">
        <x:v>https://www.onetonline.org/link/summary/35-1011.00</x:v>
      </x:c>
      <x:c r="P498" s="12" t="str">
        <x:v>SOC35 food preparation and serving occupations.</x:v>
      </x:c>
    </x:row>
    <x:row r="499" ht="37.5" customHeight="1">
      <x:c r="A499" s="15" t="str">
        <x:v>782210</x:v>
      </x:c>
      <x:c r="B499" s="12" t="str">
        <x:v>Food preparation and service occupations (e.g., cooks, waitresses, bartenders)</x:v>
      </x:c>
      <x:c r="C499" s="35" t="str">
        <x:v>35-1012.00</x:v>
      </x:c>
      <x:c r="D499" s="12" t="str">
        <x:v>First-Line Supervisors of Food Preparation and Serving Workers</x:v>
      </x:c>
      <x:c r="E499" s="2" t="str">
        <x:v>Include</x:v>
      </x:c>
      <x:c r="F499" s="2" t="str">
        <x:v>Yes</x:v>
      </x:c>
      <x:c r="G499" s="15" t="str">
        <x:v>6/6</x:v>
      </x:c>
      <x:c r="H499" s="18" t="n">
        <x:v>3.67</x:v>
      </x:c>
      <x:c r="I499" s="18" t="n">
        <x:v>3.17</x:v>
      </x:c>
      <x:c r="J499" s="18" t="n">
        <x:v>3.67</x:v>
      </x:c>
      <x:c r="K499" s="18" t="n">
        <x:v>5.67</x:v>
      </x:c>
      <x:c r="L499" s="18" t="n">
        <x:v>4.67</x:v>
      </x:c>
      <x:c r="M499" s="18" t="n">
        <x:v>4.67</x:v>
      </x:c>
      <x:c r="N499" s="12" t="str">
        <x:v>Directly supervise and coordinate activities of workers engaged in preparing and serving food.</x:v>
      </x:c>
      <x:c r="O499" s="12" t="str">
        <x:v>https://www.onetonline.org/link/summary/35-1012.00</x:v>
      </x:c>
      <x:c r="P499" s="12" t="str">
        <x:v>SOC35 food preparation and serving occupations.</x:v>
      </x:c>
    </x:row>
    <x:row r="500" ht="37.5" customHeight="1">
      <x:c r="A500" s="15" t="str">
        <x:v>782210</x:v>
      </x:c>
      <x:c r="B500" s="12" t="str">
        <x:v>Food preparation and service occupations (e.g., cooks, waitresses, bartenders)</x:v>
      </x:c>
      <x:c r="C500" s="35" t="str">
        <x:v>35-2011.00</x:v>
      </x:c>
      <x:c r="D500" s="12" t="str">
        <x:v>Cooks, Fast Food</x:v>
      </x:c>
      <x:c r="E500" s="2" t="str">
        <x:v>Include</x:v>
      </x:c>
      <x:c r="F500" s="2" t="str">
        <x:v>Yes</x:v>
      </x:c>
      <x:c r="G500" s="15" t="str">
        <x:v>6/6</x:v>
      </x:c>
      <x:c r="H500" s="18" t="n">
        <x:v>2</x:v>
      </x:c>
      <x:c r="I500" s="18" t="n">
        <x:v>1.5</x:v>
      </x:c>
      <x:c r="J500" s="18" t="n">
        <x:v>1.67</x:v>
      </x:c>
      <x:c r="K500" s="18" t="n">
        <x:v>4.33</x:v>
      </x:c>
      <x:c r="L500" s="18" t="n">
        <x:v>4</x:v>
      </x:c>
      <x:c r="M500" s="18" t="n">
        <x:v>2.67</x:v>
      </x:c>
      <x:c r="N500" s="12" t="str">
        <x:v>Prepare and cook food in a fast food restaurant with a limited menu. Duties of these cooks are limited to preparation of a few basic items and normally involve operating large-volume single-purpose cooking equipment.</x:v>
      </x:c>
      <x:c r="O500" s="12" t="str">
        <x:v>https://www.onetonline.org/link/summary/35-2011.00</x:v>
      </x:c>
      <x:c r="P500" s="12" t="str">
        <x:v>SOC35 food preparation and serving occupations.</x:v>
      </x:c>
    </x:row>
    <x:row r="501" ht="37.5" customHeight="1">
      <x:c r="A501" s="15" t="str">
        <x:v>782210</x:v>
      </x:c>
      <x:c r="B501" s="12" t="str">
        <x:v>Food preparation and service occupations (e.g., cooks, waitresses, bartenders)</x:v>
      </x:c>
      <x:c r="C501" s="35" t="str">
        <x:v>35-2012.00</x:v>
      </x:c>
      <x:c r="D501" s="12" t="str">
        <x:v>Cooks, Institution and Cafeteria</x:v>
      </x:c>
      <x:c r="E501" s="2" t="str">
        <x:v>Include</x:v>
      </x:c>
      <x:c r="F501" s="2" t="str">
        <x:v>Yes</x:v>
      </x:c>
      <x:c r="G501" s="15" t="str">
        <x:v>6/6</x:v>
      </x:c>
      <x:c r="H501" s="18" t="n">
        <x:v>2.33</x:v>
      </x:c>
      <x:c r="I501" s="18" t="n">
        <x:v>2.67</x:v>
      </x:c>
      <x:c r="J501" s="18" t="n">
        <x:v>2.33</x:v>
      </x:c>
      <x:c r="K501" s="18" t="n">
        <x:v>5</x:v>
      </x:c>
      <x:c r="L501" s="18" t="n">
        <x:v>4.33</x:v>
      </x:c>
      <x:c r="M501" s="18" t="n">
        <x:v>3.33</x:v>
      </x:c>
      <x:c r="N501" s="12" t="str">
        <x:v>Prepare and cook large quantities of food for institutions, such as schools, hospitals, or cafeterias.</x:v>
      </x:c>
      <x:c r="O501" s="12" t="str">
        <x:v>https://www.onetonline.org/link/summary/35-2012.00</x:v>
      </x:c>
      <x:c r="P501" s="12" t="str">
        <x:v>SOC35 food preparation and serving occupations.</x:v>
      </x:c>
    </x:row>
    <x:row r="502" ht="37.5" customHeight="1">
      <x:c r="A502" s="15" t="str">
        <x:v>782210</x:v>
      </x:c>
      <x:c r="B502" s="12" t="str">
        <x:v>Food preparation and service occupations (e.g., cooks, waitresses, bartenders)</x:v>
      </x:c>
      <x:c r="C502" s="35" t="str">
        <x:v>35-2013.00</x:v>
      </x:c>
      <x:c r="D502" s="12" t="str">
        <x:v>Cooks, Private Household</x:v>
      </x:c>
      <x:c r="E502" s="2" t="str">
        <x:v>Include</x:v>
      </x:c>
      <x:c r="F502" s="2" t="str">
        <x:v>Yes</x:v>
      </x:c>
      <x:c r="G502" s="15" t="str">
        <x:v>6/6</x:v>
      </x:c>
      <x:c r="H502" s="18" t="n">
        <x:v>3.67</x:v>
      </x:c>
      <x:c r="I502" s="18" t="n">
        <x:v>3</x:v>
      </x:c>
      <x:c r="J502" s="18" t="n">
        <x:v>2.67</x:v>
      </x:c>
      <x:c r="K502" s="18" t="n">
        <x:v>3.67</x:v>
      </x:c>
      <x:c r="L502" s="18" t="n">
        <x:v>2</x:v>
      </x:c>
      <x:c r="M502" s="18" t="n">
        <x:v>4</x:v>
      </x:c>
      <x:c r="N502" s="12" t="str">
        <x:v>Prepare meals in private homes. Includes personal chefs.</x:v>
      </x:c>
      <x:c r="O502" s="12" t="str">
        <x:v>https://www.onetonline.org/link/summary/35-2013.00</x:v>
      </x:c>
      <x:c r="P502" s="12" t="str">
        <x:v>SOC35 food preparation and serving occupations.</x:v>
      </x:c>
    </x:row>
    <x:row r="503" ht="37.5" customHeight="1">
      <x:c r="A503" s="15" t="str">
        <x:v>782210</x:v>
      </x:c>
      <x:c r="B503" s="12" t="str">
        <x:v>Food preparation and service occupations (e.g., cooks, waitresses, bartenders)</x:v>
      </x:c>
      <x:c r="C503" s="35" t="str">
        <x:v>35-2014.00</x:v>
      </x:c>
      <x:c r="D503" s="12" t="str">
        <x:v>Cooks, Restaurant</x:v>
      </x:c>
      <x:c r="E503" s="2" t="str">
        <x:v>Include</x:v>
      </x:c>
      <x:c r="F503" s="2" t="str">
        <x:v>Yes</x:v>
      </x:c>
      <x:c r="G503" s="15" t="str">
        <x:v>6/6</x:v>
      </x:c>
      <x:c r="H503" s="18" t="n">
        <x:v>3.33</x:v>
      </x:c>
      <x:c r="I503" s="18" t="n">
        <x:v>3.33</x:v>
      </x:c>
      <x:c r="J503" s="18" t="n">
        <x:v>2.67</x:v>
      </x:c>
      <x:c r="K503" s="18" t="n">
        <x:v>4.33</x:v>
      </x:c>
      <x:c r="L503" s="18" t="n">
        <x:v>4.67</x:v>
      </x:c>
      <x:c r="M503" s="18" t="n">
        <x:v>4</x:v>
      </x:c>
      <x:c r="N503" s="12" t="str">
        <x:v>Prepare, season, and cook dishes such as soups, meats, vegetables, or desserts in restaurants. May order supplies, keep records and accounts, price items on menu, or plan menu.</x:v>
      </x:c>
      <x:c r="O503" s="12" t="str">
        <x:v>https://www.onetonline.org/link/summary/35-2014.00</x:v>
      </x:c>
      <x:c r="P503" s="12" t="str">
        <x:v>SOC35 food preparation and serving occupations.</x:v>
      </x:c>
    </x:row>
    <x:row r="504" ht="37.5" customHeight="1">
      <x:c r="A504" s="15" t="str">
        <x:v>782210</x:v>
      </x:c>
      <x:c r="B504" s="12" t="str">
        <x:v>Food preparation and service occupations (e.g., cooks, waitresses, bartenders)</x:v>
      </x:c>
      <x:c r="C504" s="35" t="str">
        <x:v>35-2015.00</x:v>
      </x:c>
      <x:c r="D504" s="12" t="str">
        <x:v>Cooks, Short Order</x:v>
      </x:c>
      <x:c r="E504" s="2" t="str">
        <x:v>Include</x:v>
      </x:c>
      <x:c r="F504" s="2" t="str">
        <x:v>Yes</x:v>
      </x:c>
      <x:c r="G504" s="15" t="str">
        <x:v>6/6</x:v>
      </x:c>
      <x:c r="H504" s="18" t="n">
        <x:v>2.33</x:v>
      </x:c>
      <x:c r="I504" s="18" t="n">
        <x:v>2.5</x:v>
      </x:c>
      <x:c r="J504" s="18" t="n">
        <x:v>2</x:v>
      </x:c>
      <x:c r="K504" s="18" t="n">
        <x:v>3</x:v>
      </x:c>
      <x:c r="L504" s="18" t="n">
        <x:v>3</x:v>
      </x:c>
      <x:c r="M504" s="18" t="n">
        <x:v>4.33</x:v>
      </x:c>
      <x:c r="N504" s="12" t="str">
        <x:v>Prepare and cook to order a variety of foods that require only a short preparation time. May take orders from customers and serve patrons at counters or tables.</x:v>
      </x:c>
      <x:c r="O504" s="12" t="str">
        <x:v>https://www.onetonline.org/link/summary/35-2015.00</x:v>
      </x:c>
      <x:c r="P504" s="12" t="str">
        <x:v>SOC35 food preparation and serving occupations.</x:v>
      </x:c>
    </x:row>
    <x:row r="505" ht="37.5" customHeight="1">
      <x:c r="A505" s="15" t="str">
        <x:v>782210</x:v>
      </x:c>
      <x:c r="B505" s="12" t="str">
        <x:v>Food preparation and service occupations (e.g., cooks, waitresses, bartenders)</x:v>
      </x:c>
      <x:c r="C505" s="35" t="str">
        <x:v>35-2019.00</x:v>
      </x:c>
      <x:c r="D505" s="12" t="str">
        <x:v>Cooks, All Other</x:v>
      </x:c>
      <x:c r="E505" s="2" t="str">
        <x:v>Exclude (no Work Values)</x:v>
      </x:c>
      <x:c r="F505" s="2" t="str">
        <x:v>Yes</x:v>
      </x:c>
      <x:c r="G505" s="15" t="str">
        <x:v>0/6</x:v>
      </x:c>
      <x:c r="H505" s="18"/>
      <x:c r="I505" s="18"/>
      <x:c r="J505" s="18"/>
      <x:c r="K505" s="18"/>
      <x:c r="L505" s="18"/>
      <x:c r="M505" s="18"/>
      <x:c r="N505" s="12" t="str">
        <x:v>All cooks not listed separately.</x:v>
      </x:c>
      <x:c r="O505" s="12" t="str">
        <x:v>https://www.onetonline.org/link/summary/35-2019.00</x:v>
      </x:c>
      <x:c r="P505" s="12" t="str">
        <x:v>SOC35 food preparation and serving occupations.</x:v>
      </x:c>
    </x:row>
    <x:row r="506" ht="37.5" customHeight="1">
      <x:c r="A506" s="15" t="str">
        <x:v>782210</x:v>
      </x:c>
      <x:c r="B506" s="12" t="str">
        <x:v>Food preparation and service occupations (e.g., cooks, waitresses, bartenders)</x:v>
      </x:c>
      <x:c r="C506" s="35" t="str">
        <x:v>35-2021.00</x:v>
      </x:c>
      <x:c r="D506" s="12" t="str">
        <x:v>Food Preparation Workers</x:v>
      </x:c>
      <x:c r="E506" s="2" t="str">
        <x:v>Include</x:v>
      </x:c>
      <x:c r="F506" s="2" t="str">
        <x:v>Yes</x:v>
      </x:c>
      <x:c r="G506" s="15" t="str">
        <x:v>6/6</x:v>
      </x:c>
      <x:c r="H506" s="18" t="n">
        <x:v>1.67</x:v>
      </x:c>
      <x:c r="I506" s="18" t="n">
        <x:v>2</x:v>
      </x:c>
      <x:c r="J506" s="18" t="n">
        <x:v>1.67</x:v>
      </x:c>
      <x:c r="K506" s="18" t="n">
        <x:v>4.67</x:v>
      </x:c>
      <x:c r="L506" s="18" t="n">
        <x:v>4.67</x:v>
      </x:c>
      <x:c r="M506" s="18" t="n">
        <x:v>1.67</x:v>
      </x:c>
      <x:c r="N506" s="12" t="str">
        <x:v>Perform a variety of food preparation duties other than cooking, such as preparing cold foods and shellfish, slicing meat, and brewing coffee or tea.</x:v>
      </x:c>
      <x:c r="O506" s="12" t="str">
        <x:v>https://www.onetonline.org/link/summary/35-2021.00</x:v>
      </x:c>
      <x:c r="P506" s="12" t="str">
        <x:v>SOC35 food preparation and serving occupations.</x:v>
      </x:c>
    </x:row>
    <x:row r="507" ht="37.5" customHeight="1">
      <x:c r="A507" s="15" t="str">
        <x:v>782210</x:v>
      </x:c>
      <x:c r="B507" s="12" t="str">
        <x:v>Food preparation and service occupations (e.g., cooks, waitresses, bartenders)</x:v>
      </x:c>
      <x:c r="C507" s="35" t="str">
        <x:v>35-3011.00</x:v>
      </x:c>
      <x:c r="D507" s="12" t="str">
        <x:v>Bartenders</x:v>
      </x:c>
      <x:c r="E507" s="2" t="str">
        <x:v>Include</x:v>
      </x:c>
      <x:c r="F507" s="2" t="str">
        <x:v>Yes</x:v>
      </x:c>
      <x:c r="G507" s="15" t="str">
        <x:v>6/6</x:v>
      </x:c>
      <x:c r="H507" s="18" t="n">
        <x:v>2.33</x:v>
      </x:c>
      <x:c r="I507" s="18" t="n">
        <x:v>2.33</x:v>
      </x:c>
      <x:c r="J507" s="18" t="n">
        <x:v>2.67</x:v>
      </x:c>
      <x:c r="K507" s="18" t="n">
        <x:v>5.33</x:v>
      </x:c>
      <x:c r="L507" s="18" t="n">
        <x:v>3.33</x:v>
      </x:c>
      <x:c r="M507" s="18" t="n">
        <x:v>4</x:v>
      </x:c>
      <x:c r="N507" s="12" t="str">
        <x:v>Mix and serve drinks to patrons, directly or through waitstaff.</x:v>
      </x:c>
      <x:c r="O507" s="12" t="str">
        <x:v>https://www.onetonline.org/link/summary/35-3011.00</x:v>
      </x:c>
      <x:c r="P507" s="12" t="str">
        <x:v>SOC35 food preparation and serving occupations.</x:v>
      </x:c>
    </x:row>
    <x:row r="508" ht="37.5" customHeight="1">
      <x:c r="A508" s="15" t="str">
        <x:v>782210</x:v>
      </x:c>
      <x:c r="B508" s="12" t="str">
        <x:v>Food preparation and service occupations (e.g., cooks, waitresses, bartenders)</x:v>
      </x:c>
      <x:c r="C508" s="35" t="str">
        <x:v>35-3023.00</x:v>
      </x:c>
      <x:c r="D508" s="12" t="str">
        <x:v>Fast Food and Counter Workers</x:v>
      </x:c>
      <x:c r="E508" s="2" t="str">
        <x:v>Include</x:v>
      </x:c>
      <x:c r="F508" s="2" t="str">
        <x:v>Yes</x:v>
      </x:c>
      <x:c r="G508" s="15" t="str">
        <x:v>6/6</x:v>
      </x:c>
      <x:c r="H508" s="18" t="n">
        <x:v>1.67</x:v>
      </x:c>
      <x:c r="I508" s="18" t="n">
        <x:v>1.92</x:v>
      </x:c>
      <x:c r="J508" s="18" t="n">
        <x:v>1.67</x:v>
      </x:c>
      <x:c r="K508" s="18" t="n">
        <x:v>4.5</x:v>
      </x:c>
      <x:c r="L508" s="18" t="n">
        <x:v>4</x:v>
      </x:c>
      <x:c r="M508" s="18" t="n">
        <x:v>1.83</x:v>
      </x:c>
      <x:c r="N508" s="12" t="str">
        <x:v>Perform duties such as taking orders and serving food and beverages. Serve customers at counter or from a steam table. May take payment. May prepare food and beverages.</x:v>
      </x:c>
      <x:c r="O508" s="12" t="str">
        <x:v>https://www.onetonline.org/link/summary/35-3023.00</x:v>
      </x:c>
      <x:c r="P508" s="12" t="str">
        <x:v>SOC35 food preparation and serving occupations.</x:v>
      </x:c>
    </x:row>
    <x:row r="509" ht="37.5" customHeight="1">
      <x:c r="A509" s="15" t="str">
        <x:v>782210</x:v>
      </x:c>
      <x:c r="B509" s="12" t="str">
        <x:v>Food preparation and service occupations (e.g., cooks, waitresses, bartenders)</x:v>
      </x:c>
      <x:c r="C509" s="35" t="str">
        <x:v>35-3031.00</x:v>
      </x:c>
      <x:c r="D509" s="12" t="str">
        <x:v>Waiters and Waitresses</x:v>
      </x:c>
      <x:c r="E509" s="2" t="str">
        <x:v>Include</x:v>
      </x:c>
      <x:c r="F509" s="2" t="str">
        <x:v>Yes</x:v>
      </x:c>
      <x:c r="G509" s="15" t="str">
        <x:v>6/6</x:v>
      </x:c>
      <x:c r="H509" s="18" t="n">
        <x:v>2.33</x:v>
      </x:c>
      <x:c r="I509" s="18" t="n">
        <x:v>2</x:v>
      </x:c>
      <x:c r="J509" s="18" t="n">
        <x:v>2</x:v>
      </x:c>
      <x:c r="K509" s="18" t="n">
        <x:v>6</x:v>
      </x:c>
      <x:c r="L509" s="18" t="n">
        <x:v>3.33</x:v>
      </x:c>
      <x:c r="M509" s="18" t="n">
        <x:v>2.33</x:v>
      </x:c>
      <x:c r="N509" s="12" t="str">
        <x:v>Take orders and serve food and beverages to patrons at tables in dining establishment.</x:v>
      </x:c>
      <x:c r="O509" s="12" t="str">
        <x:v>https://www.onetonline.org/link/summary/35-3031.00</x:v>
      </x:c>
      <x:c r="P509" s="12" t="str">
        <x:v>SOC35 food preparation and serving occupations.</x:v>
      </x:c>
    </x:row>
    <x:row r="510" ht="37.5" customHeight="1">
      <x:c r="A510" s="15" t="str">
        <x:v>782210</x:v>
      </x:c>
      <x:c r="B510" s="12" t="str">
        <x:v>Food preparation and service occupations (e.g., cooks, waitresses, bartenders)</x:v>
      </x:c>
      <x:c r="C510" s="35" t="str">
        <x:v>35-3041.00</x:v>
      </x:c>
      <x:c r="D510" s="12" t="str">
        <x:v>Food Servers, Nonrestaurant</x:v>
      </x:c>
      <x:c r="E510" s="2" t="str">
        <x:v>Include</x:v>
      </x:c>
      <x:c r="F510" s="2" t="str">
        <x:v>Yes</x:v>
      </x:c>
      <x:c r="G510" s="15" t="str">
        <x:v>6/6</x:v>
      </x:c>
      <x:c r="H510" s="18" t="n">
        <x:v>1.67</x:v>
      </x:c>
      <x:c r="I510" s="18" t="n">
        <x:v>2.33</x:v>
      </x:c>
      <x:c r="J510" s="18" t="n">
        <x:v>1.67</x:v>
      </x:c>
      <x:c r="K510" s="18" t="n">
        <x:v>3.67</x:v>
      </x:c>
      <x:c r="L510" s="18" t="n">
        <x:v>3.67</x:v>
      </x:c>
      <x:c r="M510" s="18" t="n">
        <x:v>2.33</x:v>
      </x:c>
      <x:c r="N510" s="12" t="str">
        <x:v>Serve food to individuals outside of a restaurant environment, such as in hotel rooms, hospital rooms, residential care facilities, or cars.</x:v>
      </x:c>
      <x:c r="O510" s="12" t="str">
        <x:v>https://www.onetonline.org/link/summary/35-3041.00</x:v>
      </x:c>
      <x:c r="P510" s="12" t="str">
        <x:v>SOC35 food preparation and serving occupations.</x:v>
      </x:c>
    </x:row>
    <x:row r="511" ht="37.5" customHeight="1">
      <x:c r="A511" s="15" t="str">
        <x:v>782210</x:v>
      </x:c>
      <x:c r="B511" s="12" t="str">
        <x:v>Food preparation and service occupations (e.g., cooks, waitresses, bartenders)</x:v>
      </x:c>
      <x:c r="C511" s="35" t="str">
        <x:v>35-9011.00</x:v>
      </x:c>
      <x:c r="D511" s="12" t="str">
        <x:v>Dining Room and Cafeteria Attendants and Bartender Helpers</x:v>
      </x:c>
      <x:c r="E511" s="2" t="str">
        <x:v>Include</x:v>
      </x:c>
      <x:c r="F511" s="2" t="str">
        <x:v>Yes</x:v>
      </x:c>
      <x:c r="G511" s="15" t="str">
        <x:v>6/6</x:v>
      </x:c>
      <x:c r="H511" s="18" t="n">
        <x:v>1.67</x:v>
      </x:c>
      <x:c r="I511" s="18" t="n">
        <x:v>1.67</x:v>
      </x:c>
      <x:c r="J511" s="18" t="n">
        <x:v>1.67</x:v>
      </x:c>
      <x:c r="K511" s="18" t="n">
        <x:v>5.33</x:v>
      </x:c>
      <x:c r="L511" s="18" t="n">
        <x:v>3</x:v>
      </x:c>
      <x:c r="M511" s="18" t="n">
        <x:v>2</x:v>
      </x:c>
      <x:c r="N511" s="12" t="str">
        <x:v>Facilitate food service. Clean tables; remove dirty dishes; replace soiled table linens; set tables; replenish supply of clean linens, silverware, glassware, and dishes; supply service bar with food; and serve items such as water, condiments, and coffee to patrons.</x:v>
      </x:c>
      <x:c r="O511" s="12" t="str">
        <x:v>https://www.onetonline.org/link/summary/35-9011.00</x:v>
      </x:c>
      <x:c r="P511" s="12" t="str">
        <x:v>SOC35 food preparation and serving occupations.</x:v>
      </x:c>
    </x:row>
    <x:row r="512" ht="37.5" customHeight="1">
      <x:c r="A512" s="15" t="str">
        <x:v>782210</x:v>
      </x:c>
      <x:c r="B512" s="12" t="str">
        <x:v>Food preparation and service occupations (e.g., cooks, waitresses, bartenders)</x:v>
      </x:c>
      <x:c r="C512" s="35" t="str">
        <x:v>35-9021.00</x:v>
      </x:c>
      <x:c r="D512" s="12" t="str">
        <x:v>Dishwashers</x:v>
      </x:c>
      <x:c r="E512" s="2" t="str">
        <x:v>Include</x:v>
      </x:c>
      <x:c r="F512" s="2" t="str">
        <x:v>Yes</x:v>
      </x:c>
      <x:c r="G512" s="15" t="str">
        <x:v>6/6</x:v>
      </x:c>
      <x:c r="H512" s="18" t="n">
        <x:v>1.67</x:v>
      </x:c>
      <x:c r="I512" s="18" t="n">
        <x:v>1.5</x:v>
      </x:c>
      <x:c r="J512" s="18" t="n">
        <x:v>1.67</x:v>
      </x:c>
      <x:c r="K512" s="18" t="n">
        <x:v>4</x:v>
      </x:c>
      <x:c r="L512" s="18" t="n">
        <x:v>2.67</x:v>
      </x:c>
      <x:c r="M512" s="18" t="n">
        <x:v>2</x:v>
      </x:c>
      <x:c r="N512" s="12" t="str">
        <x:v>Clean dishes, kitchen, food preparation equipment, or utensils.</x:v>
      </x:c>
      <x:c r="O512" s="12" t="str">
        <x:v>https://www.onetonline.org/link/summary/35-9021.00</x:v>
      </x:c>
      <x:c r="P512" s="12" t="str">
        <x:v>SOC35 food preparation and serving occupations.</x:v>
      </x:c>
    </x:row>
    <x:row r="513" ht="37.5" customHeight="1">
      <x:c r="A513" s="15" t="str">
        <x:v>782210</x:v>
      </x:c>
      <x:c r="B513" s="12" t="str">
        <x:v>Food preparation and service occupations (e.g., cooks, waitresses, bartenders)</x:v>
      </x:c>
      <x:c r="C513" s="35" t="str">
        <x:v>35-9031.00</x:v>
      </x:c>
      <x:c r="D513" s="12" t="str">
        <x:v>Hosts and Hostesses, Restaurant, Lounge, and Coffee Shop</x:v>
      </x:c>
      <x:c r="E513" s="2" t="str">
        <x:v>Include</x:v>
      </x:c>
      <x:c r="F513" s="2" t="str">
        <x:v>Yes</x:v>
      </x:c>
      <x:c r="G513" s="15" t="str">
        <x:v>6/6</x:v>
      </x:c>
      <x:c r="H513" s="18" t="n">
        <x:v>2.67</x:v>
      </x:c>
      <x:c r="I513" s="18" t="n">
        <x:v>2.5</x:v>
      </x:c>
      <x:c r="J513" s="18" t="n">
        <x:v>2.33</x:v>
      </x:c>
      <x:c r="K513" s="18" t="n">
        <x:v>5</x:v>
      </x:c>
      <x:c r="L513" s="18" t="n">
        <x:v>3</x:v>
      </x:c>
      <x:c r="M513" s="18" t="n">
        <x:v>2.33</x:v>
      </x:c>
      <x:c r="N513" s="12" t="str">
        <x:v>Welcome patrons, seat them at tables or in lounge, and help ensure quality of facilities and service.</x:v>
      </x:c>
      <x:c r="O513" s="12" t="str">
        <x:v>https://www.onetonline.org/link/summary/35-9031.00</x:v>
      </x:c>
      <x:c r="P513" s="12" t="str">
        <x:v>SOC35 food preparation and serving occupations.</x:v>
      </x:c>
    </x:row>
    <x:row r="514" ht="37.5" customHeight="1">
      <x:c r="A514" s="15" t="str">
        <x:v>782210</x:v>
      </x:c>
      <x:c r="B514" s="12" t="str">
        <x:v>Food preparation and service occupations (e.g., cooks, waitresses, bartenders)</x:v>
      </x:c>
      <x:c r="C514" s="35" t="str">
        <x:v>35-9099.00</x:v>
      </x:c>
      <x:c r="D514" s="12" t="str">
        <x:v>Food Preparation and Serving Related Workers, All Other</x:v>
      </x:c>
      <x:c r="E514" s="2" t="str">
        <x:v>Exclude (no Work Values)</x:v>
      </x:c>
      <x:c r="F514" s="2" t="str">
        <x:v>Yes</x:v>
      </x:c>
      <x:c r="G514" s="15" t="str">
        <x:v>0/6</x:v>
      </x:c>
      <x:c r="H514" s="18"/>
      <x:c r="I514" s="18"/>
      <x:c r="J514" s="18"/>
      <x:c r="K514" s="18"/>
      <x:c r="L514" s="18"/>
      <x:c r="M514" s="18"/>
      <x:c r="N514" s="12" t="str">
        <x:v>All food preparation and serving related workers not listed separately.</x:v>
      </x:c>
      <x:c r="O514" s="12" t="str">
        <x:v>https://www.onetonline.org/link/summary/35-9099.00</x:v>
      </x:c>
      <x:c r="P514" s="12" t="str">
        <x:v>SOC35 food preparation and serving occupations.</x:v>
      </x:c>
    </x:row>
    <x:row r="515" ht="37.5" customHeight="1">
      <x:c r="A515" s="15" t="str">
        <x:v>782220</x:v>
      </x:c>
      <x:c r="B515" s="12" t="str">
        <x:v>Protective services occupations (e.g., firefighters, police, guards, wardens, park rangers)</x:v>
      </x:c>
      <x:c r="C515" s="35" t="str">
        <x:v>33-1011.00</x:v>
      </x:c>
      <x:c r="D515" s="12" t="str">
        <x:v>First-Line Supervisors of Correctional Officers</x:v>
      </x:c>
      <x:c r="E515" s="2" t="str">
        <x:v>Include</x:v>
      </x:c>
      <x:c r="F515" s="2" t="str">
        <x:v>Yes</x:v>
      </x:c>
      <x:c r="G515" s="15" t="str">
        <x:v>6/6</x:v>
      </x:c>
      <x:c r="H515" s="18" t="n">
        <x:v>4.67</x:v>
      </x:c>
      <x:c r="I515" s="18" t="n">
        <x:v>4.5</x:v>
      </x:c>
      <x:c r="J515" s="18" t="n">
        <x:v>4</x:v>
      </x:c>
      <x:c r="K515" s="18" t="n">
        <x:v>4.33</x:v>
      </x:c>
      <x:c r="L515" s="18" t="n">
        <x:v>6</x:v>
      </x:c>
      <x:c r="M515" s="18" t="n">
        <x:v>5.33</x:v>
      </x:c>
      <x:c r="N515" s="12" t="str">
        <x:v>Directly supervise and coordinate activities of correctional officers and jailers.</x:v>
      </x:c>
      <x:c r="O515" s="12" t="str">
        <x:v>https://www.onetonline.org/link/summary/33-1011.00</x:v>
      </x:c>
      <x:c r="P515" s="12" t="str">
        <x:v>SOC33 protective service occupations.</x:v>
      </x:c>
    </x:row>
    <x:row r="516" ht="37.5" customHeight="1">
      <x:c r="A516" s="15" t="str">
        <x:v>782220</x:v>
      </x:c>
      <x:c r="B516" s="12" t="str">
        <x:v>Protective services occupations (e.g., firefighters, police, guards, wardens, park rangers)</x:v>
      </x:c>
      <x:c r="C516" s="35" t="str">
        <x:v>33-1012.00</x:v>
      </x:c>
      <x:c r="D516" s="12" t="str">
        <x:v>First-Line Supervisors of Police and Detectives</x:v>
      </x:c>
      <x:c r="E516" s="2" t="str">
        <x:v>Include</x:v>
      </x:c>
      <x:c r="F516" s="2" t="str">
        <x:v>Yes</x:v>
      </x:c>
      <x:c r="G516" s="15" t="str">
        <x:v>6/6</x:v>
      </x:c>
      <x:c r="H516" s="18" t="n">
        <x:v>5</x:v>
      </x:c>
      <x:c r="I516" s="18" t="n">
        <x:v>5.33</x:v>
      </x:c>
      <x:c r="J516" s="18" t="n">
        <x:v>6</x:v>
      </x:c>
      <x:c r="K516" s="18" t="n">
        <x:v>5.33</x:v>
      </x:c>
      <x:c r="L516" s="18" t="n">
        <x:v>5</x:v>
      </x:c>
      <x:c r="M516" s="18" t="n">
        <x:v>6.33</x:v>
      </x:c>
      <x:c r="N516" s="12" t="str">
        <x:v>Directly supervise and coordinate activities of members of police force.</x:v>
      </x:c>
      <x:c r="O516" s="12" t="str">
        <x:v>https://www.onetonline.org/link/summary/33-1012.00</x:v>
      </x:c>
      <x:c r="P516" s="12" t="str">
        <x:v>SOC33 protective service occupations.</x:v>
      </x:c>
    </x:row>
    <x:row r="517" ht="37.5" customHeight="1">
      <x:c r="A517" s="15" t="str">
        <x:v>782220</x:v>
      </x:c>
      <x:c r="B517" s="12" t="str">
        <x:v>Protective services occupations (e.g., firefighters, police, guards, wardens, park rangers)</x:v>
      </x:c>
      <x:c r="C517" s="35" t="str">
        <x:v>33-1021.00</x:v>
      </x:c>
      <x:c r="D517" s="12" t="str">
        <x:v>First-Line Supervisors of Firefighting and Prevention Workers</x:v>
      </x:c>
      <x:c r="E517" s="2" t="str">
        <x:v>Include</x:v>
      </x:c>
      <x:c r="F517" s="2" t="str">
        <x:v>Yes</x:v>
      </x:c>
      <x:c r="G517" s="15" t="str">
        <x:v>6/6</x:v>
      </x:c>
      <x:c r="H517" s="18" t="n">
        <x:v>5.33</x:v>
      </x:c>
      <x:c r="I517" s="18" t="n">
        <x:v>5.25</x:v>
      </x:c>
      <x:c r="J517" s="18" t="n">
        <x:v>5</x:v>
      </x:c>
      <x:c r="K517" s="18" t="n">
        <x:v>5</x:v>
      </x:c>
      <x:c r="L517" s="18" t="n">
        <x:v>5.5</x:v>
      </x:c>
      <x:c r="M517" s="18" t="n">
        <x:v>5.67</x:v>
      </x:c>
      <x:c r="N517" s="12" t="str">
        <x:v>Directly supervise and coordinate activities of workers engaged in firefighting and fire prevention and control.</x:v>
      </x:c>
      <x:c r="O517" s="12" t="str">
        <x:v>https://www.onetonline.org/link/summary/33-1021.00</x:v>
      </x:c>
      <x:c r="P517" s="12" t="str">
        <x:v>SOC33 protective service occupations.</x:v>
      </x:c>
    </x:row>
    <x:row r="518" ht="37.5" customHeight="1">
      <x:c r="A518" s="15" t="str">
        <x:v>782220</x:v>
      </x:c>
      <x:c r="B518" s="12" t="str">
        <x:v>Protective services occupations (e.g., firefighters, police, guards, wardens, park rangers)</x:v>
      </x:c>
      <x:c r="C518" s="35" t="str">
        <x:v>33-1091.00</x:v>
      </x:c>
      <x:c r="D518" s="12" t="str">
        <x:v>First-Line Supervisors of Security Workers</x:v>
      </x:c>
      <x:c r="E518" s="2" t="str">
        <x:v>Exclude (no Work Values)</x:v>
      </x:c>
      <x:c r="F518" s="2" t="str">
        <x:v>Yes</x:v>
      </x:c>
      <x:c r="G518" s="15" t="str">
        <x:v>0/6</x:v>
      </x:c>
      <x:c r="H518" s="18"/>
      <x:c r="I518" s="18"/>
      <x:c r="J518" s="18"/>
      <x:c r="K518" s="18"/>
      <x:c r="L518" s="18"/>
      <x:c r="M518" s="18"/>
      <x:c r="N518" s="12" t="str">
        <x:v>Directly supervise and coordinate activities of security workers and security guards.</x:v>
      </x:c>
      <x:c r="O518" s="12" t="str">
        <x:v>https://www.onetonline.org/link/summary/33-1091.00</x:v>
      </x:c>
      <x:c r="P518" s="12" t="str">
        <x:v>SOC33 protective service occupations.</x:v>
      </x:c>
    </x:row>
    <x:row r="519" ht="37.5" customHeight="1">
      <x:c r="A519" s="15" t="str">
        <x:v>782220</x:v>
      </x:c>
      <x:c r="B519" s="12" t="str">
        <x:v>Protective services occupations (e.g., firefighters, police, guards, wardens, park rangers)</x:v>
      </x:c>
      <x:c r="C519" s="35" t="str">
        <x:v>33-1099.00</x:v>
      </x:c>
      <x:c r="D519" s="12" t="str">
        <x:v>First-Line Supervisors of Protective Service Workers, All Other</x:v>
      </x:c>
      <x:c r="E519" s="2" t="str">
        <x:v>Exclude (no Work Values)</x:v>
      </x:c>
      <x:c r="F519" s="2" t="str">
        <x:v>Yes</x:v>
      </x:c>
      <x:c r="G519" s="15" t="str">
        <x:v>0/6</x:v>
      </x:c>
      <x:c r="H519" s="18"/>
      <x:c r="I519" s="18"/>
      <x:c r="J519" s="18"/>
      <x:c r="K519" s="18"/>
      <x:c r="L519" s="18"/>
      <x:c r="M519" s="18"/>
      <x:c r="N519" s="12" t="str">
        <x:v>All protective service supervisors not listed separately above.</x:v>
      </x:c>
      <x:c r="O519" s="12" t="str">
        <x:v>https://www.onetonline.org/link/summary/33-1099.00</x:v>
      </x:c>
      <x:c r="P519" s="12" t="str">
        <x:v>SOC33 protective service occupations.</x:v>
      </x:c>
    </x:row>
    <x:row r="520" ht="37.5" customHeight="1">
      <x:c r="A520" s="15" t="str">
        <x:v>782220</x:v>
      </x:c>
      <x:c r="B520" s="12" t="str">
        <x:v>Protective services occupations (e.g., firefighters, police, guards, wardens, park rangers)</x:v>
      </x:c>
      <x:c r="C520" s="35" t="str">
        <x:v>33-2011.00</x:v>
      </x:c>
      <x:c r="D520" s="12" t="str">
        <x:v>Firefighters</x:v>
      </x:c>
      <x:c r="E520" s="2" t="str">
        <x:v>Include</x:v>
      </x:c>
      <x:c r="F520" s="2" t="str">
        <x:v>Yes</x:v>
      </x:c>
      <x:c r="G520" s="15" t="str">
        <x:v>6/6</x:v>
      </x:c>
      <x:c r="H520" s="18" t="n">
        <x:v>5.5</x:v>
      </x:c>
      <x:c r="I520" s="18" t="n">
        <x:v>4.5</x:v>
      </x:c>
      <x:c r="J520" s="18" t="n">
        <x:v>4.83</x:v>
      </x:c>
      <x:c r="K520" s="18" t="n">
        <x:v>5.67</x:v>
      </x:c>
      <x:c r="L520" s="18" t="n">
        <x:v>5.83</x:v>
      </x:c>
      <x:c r="M520" s="18" t="n">
        <x:v>4.67</x:v>
      </x:c>
      <x:c r="N520" s="12" t="str">
        <x:v>Control and extinguish fires or respond to emergency situations where life, property, or the environment is at risk. Duties may include fire prevention, emergency medical service, hazardous material response, search and rescue, and disaster assistance.</x:v>
      </x:c>
      <x:c r="O520" s="12" t="str">
        <x:v>https://www.onetonline.org/link/summary/33-2011.00</x:v>
      </x:c>
      <x:c r="P520" s="12" t="str">
        <x:v>SOC33 protective service occupations.</x:v>
      </x:c>
    </x:row>
    <x:row r="521" ht="37.5" customHeight="1">
      <x:c r="A521" s="15" t="str">
        <x:v>782220</x:v>
      </x:c>
      <x:c r="B521" s="12" t="str">
        <x:v>Protective services occupations (e.g., firefighters, police, guards, wardens, park rangers)</x:v>
      </x:c>
      <x:c r="C521" s="35" t="str">
        <x:v>33-2021.00</x:v>
      </x:c>
      <x:c r="D521" s="12" t="str">
        <x:v>Fire Inspectors and Investigators</x:v>
      </x:c>
      <x:c r="E521" s="2" t="str">
        <x:v>Include</x:v>
      </x:c>
      <x:c r="F521" s="2" t="str">
        <x:v>Yes</x:v>
      </x:c>
      <x:c r="G521" s="15" t="str">
        <x:v>6/6</x:v>
      </x:c>
      <x:c r="H521" s="18" t="n">
        <x:v>5.17</x:v>
      </x:c>
      <x:c r="I521" s="18" t="n">
        <x:v>4.67</x:v>
      </x:c>
      <x:c r="J521" s="18" t="n">
        <x:v>4.5</x:v>
      </x:c>
      <x:c r="K521" s="18" t="n">
        <x:v>4.17</x:v>
      </x:c>
      <x:c r="L521" s="18" t="n">
        <x:v>5.17</x:v>
      </x:c>
      <x:c r="M521" s="18" t="n">
        <x:v>5.17</x:v>
      </x:c>
      <x:c r="N521" s="12" t="str">
        <x:v>Inspect buildings to detect fire hazards and enforce local ordinances and state laws, or investigate and gather facts to determine cause of fires and explosions.</x:v>
      </x:c>
      <x:c r="O521" s="12" t="str">
        <x:v>https://www.onetonline.org/link/summary/33-2021.00</x:v>
      </x:c>
      <x:c r="P521" s="12" t="str">
        <x:v>SOC33 protective service occupations.</x:v>
      </x:c>
    </x:row>
    <x:row r="522" ht="37.5" customHeight="1">
      <x:c r="A522" s="15" t="str">
        <x:v>782220</x:v>
      </x:c>
      <x:c r="B522" s="12" t="str">
        <x:v>Protective services occupations (e.g., firefighters, police, guards, wardens, park rangers)</x:v>
      </x:c>
      <x:c r="C522" s="35" t="str">
        <x:v>33-2022.00</x:v>
      </x:c>
      <x:c r="D522" s="12" t="str">
        <x:v>Forest Fire Inspectors and Prevention Specialists</x:v>
      </x:c>
      <x:c r="E522" s="2" t="str">
        <x:v>Include</x:v>
      </x:c>
      <x:c r="F522" s="2" t="str">
        <x:v>Yes</x:v>
      </x:c>
      <x:c r="G522" s="15" t="str">
        <x:v>6/6</x:v>
      </x:c>
      <x:c r="H522" s="18" t="n">
        <x:v>5.33</x:v>
      </x:c>
      <x:c r="I522" s="18" t="n">
        <x:v>4</x:v>
      </x:c>
      <x:c r="J522" s="18" t="n">
        <x:v>4.33</x:v>
      </x:c>
      <x:c r="K522" s="18" t="n">
        <x:v>5</x:v>
      </x:c>
      <x:c r="L522" s="18" t="n">
        <x:v>4.33</x:v>
      </x:c>
      <x:c r="M522" s="18" t="n">
        <x:v>5</x:v>
      </x:c>
      <x:c r="N522" s="12" t="str">
        <x:v>Enforce fire regulations, inspect forest for fire hazards, and recommend forest fire prevention or control measures. May report forest fires and weather conditions.</x:v>
      </x:c>
      <x:c r="O522" s="12" t="str">
        <x:v>https://www.onetonline.org/link/summary/33-2022.00</x:v>
      </x:c>
      <x:c r="P522" s="12" t="str">
        <x:v>SOC33 protective service occupations.</x:v>
      </x:c>
    </x:row>
    <x:row r="523" ht="37.5" customHeight="1">
      <x:c r="A523" s="15" t="str">
        <x:v>782220</x:v>
      </x:c>
      <x:c r="B523" s="12" t="str">
        <x:v>Protective services occupations (e.g., firefighters, police, guards, wardens, park rangers)</x:v>
      </x:c>
      <x:c r="C523" s="35" t="str">
        <x:v>33-3011.00</x:v>
      </x:c>
      <x:c r="D523" s="12" t="str">
        <x:v>Bailiffs</x:v>
      </x:c>
      <x:c r="E523" s="2" t="str">
        <x:v>Include</x:v>
      </x:c>
      <x:c r="F523" s="2" t="str">
        <x:v>Yes</x:v>
      </x:c>
      <x:c r="G523" s="15" t="str">
        <x:v>6/6</x:v>
      </x:c>
      <x:c r="H523" s="18" t="n">
        <x:v>3.33</x:v>
      </x:c>
      <x:c r="I523" s="18" t="n">
        <x:v>3.33</x:v>
      </x:c>
      <x:c r="J523" s="18" t="n">
        <x:v>3.33</x:v>
      </x:c>
      <x:c r="K523" s="18" t="n">
        <x:v>5</x:v>
      </x:c>
      <x:c r="L523" s="18" t="n">
        <x:v>4.67</x:v>
      </x:c>
      <x:c r="M523" s="18" t="n">
        <x:v>3.67</x:v>
      </x:c>
      <x:c r="N523" s="12" t="str">
        <x:v>Maintain order in courts of law.</x:v>
      </x:c>
      <x:c r="O523" s="12" t="str">
        <x:v>https://www.onetonline.org/link/summary/33-3011.00</x:v>
      </x:c>
      <x:c r="P523" s="12" t="str">
        <x:v>SOC33 protective service occupations.</x:v>
      </x:c>
    </x:row>
    <x:row r="524" ht="37.5" customHeight="1">
      <x:c r="A524" s="15" t="str">
        <x:v>782220</x:v>
      </x:c>
      <x:c r="B524" s="12" t="str">
        <x:v>Protective services occupations (e.g., firefighters, police, guards, wardens, park rangers)</x:v>
      </x:c>
      <x:c r="C524" s="35" t="str">
        <x:v>33-3012.00</x:v>
      </x:c>
      <x:c r="D524" s="12" t="str">
        <x:v>Correctional Officers and Jailers</x:v>
      </x:c>
      <x:c r="E524" s="2" t="str">
        <x:v>Include</x:v>
      </x:c>
      <x:c r="F524" s="2" t="str">
        <x:v>Yes</x:v>
      </x:c>
      <x:c r="G524" s="15" t="str">
        <x:v>6/6</x:v>
      </x:c>
      <x:c r="H524" s="18" t="n">
        <x:v>4</x:v>
      </x:c>
      <x:c r="I524" s="18" t="n">
        <x:v>3.5</x:v>
      </x:c>
      <x:c r="J524" s="18" t="n">
        <x:v>3</x:v>
      </x:c>
      <x:c r="K524" s="18" t="n">
        <x:v>5.33</x:v>
      </x:c>
      <x:c r="L524" s="18" t="n">
        <x:v>6</x:v>
      </x:c>
      <x:c r="M524" s="18" t="n">
        <x:v>4.67</x:v>
      </x:c>
      <x:c r="N524" s="12" t="str">
        <x:v>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x:v>
      </x:c>
      <x:c r="O524" s="12" t="str">
        <x:v>https://www.onetonline.org/link/summary/33-3012.00</x:v>
      </x:c>
      <x:c r="P524" s="12" t="str">
        <x:v>SOC33 protective service occupations.</x:v>
      </x:c>
    </x:row>
    <x:row r="525" ht="37.5" customHeight="1">
      <x:c r="A525" s="15" t="str">
        <x:v>782220</x:v>
      </x:c>
      <x:c r="B525" s="12" t="str">
        <x:v>Protective services occupations (e.g., firefighters, police, guards, wardens, park rangers)</x:v>
      </x:c>
      <x:c r="C525" s="35" t="str">
        <x:v>33-3021.00</x:v>
      </x:c>
      <x:c r="D525" s="12" t="str">
        <x:v>Detectives and Criminal Investigators</x:v>
      </x:c>
      <x:c r="E525" s="2" t="str">
        <x:v>Include</x:v>
      </x:c>
      <x:c r="F525" s="2" t="str">
        <x:v>Yes</x:v>
      </x:c>
      <x:c r="G525" s="15" t="str">
        <x:v>6/6</x:v>
      </x:c>
      <x:c r="H525" s="18" t="n">
        <x:v>5.17</x:v>
      </x:c>
      <x:c r="I525" s="18" t="n">
        <x:v>5.17</x:v>
      </x:c>
      <x:c r="J525" s="18" t="n">
        <x:v>4.83</x:v>
      </x:c>
      <x:c r="K525" s="18" t="n">
        <x:v>4.33</x:v>
      </x:c>
      <x:c r="L525" s="18" t="n">
        <x:v>4.83</x:v>
      </x:c>
      <x:c r="M525" s="18" t="n">
        <x:v>5</x:v>
      </x:c>
      <x:c r="N525" s="12" t="str">
        <x:v>Conduct investigations related to suspected violations of federal, state, or local laws to prevent or solve crimes.</x:v>
      </x:c>
      <x:c r="O525" s="12" t="str">
        <x:v>https://www.onetonline.org/link/summary/33-3021.00</x:v>
      </x:c>
      <x:c r="P525" s="12" t="str">
        <x:v>SOC33 protective service occupations.</x:v>
      </x:c>
    </x:row>
    <x:row r="526" ht="37.5" customHeight="1">
      <x:c r="A526" s="15" t="str">
        <x:v>782220</x:v>
      </x:c>
      <x:c r="B526" s="12" t="str">
        <x:v>Protective services occupations (e.g., firefighters, police, guards, wardens, park rangers)</x:v>
      </x:c>
      <x:c r="C526" s="35" t="str">
        <x:v>33-3031.00</x:v>
      </x:c>
      <x:c r="D526" s="12" t="str">
        <x:v>Fish and Game Wardens</x:v>
      </x:c>
      <x:c r="E526" s="2" t="str">
        <x:v>Include</x:v>
      </x:c>
      <x:c r="F526" s="2" t="str">
        <x:v>Yes</x:v>
      </x:c>
      <x:c r="G526" s="15" t="str">
        <x:v>6/6</x:v>
      </x:c>
      <x:c r="H526" s="18" t="n">
        <x:v>5</x:v>
      </x:c>
      <x:c r="I526" s="18" t="n">
        <x:v>4.67</x:v>
      </x:c>
      <x:c r="J526" s="18" t="n">
        <x:v>4</x:v>
      </x:c>
      <x:c r="K526" s="18" t="n">
        <x:v>3.67</x:v>
      </x:c>
      <x:c r="L526" s="18" t="n">
        <x:v>5.33</x:v>
      </x:c>
      <x:c r="M526" s="18" t="n">
        <x:v>5.33</x:v>
      </x:c>
      <x:c r="N526" s="12" t="str">
        <x:v>Patrol assigned area to prevent fish and game law violations. Investigate reports of damage to crops or property by wildlife. Compile biological data.</x:v>
      </x:c>
      <x:c r="O526" s="12" t="str">
        <x:v>https://www.onetonline.org/link/summary/33-3031.00</x:v>
      </x:c>
      <x:c r="P526" s="12" t="str">
        <x:v>SOC33 protective service occupations.</x:v>
      </x:c>
    </x:row>
    <x:row r="527" ht="37.5" customHeight="1">
      <x:c r="A527" s="15" t="str">
        <x:v>782220</x:v>
      </x:c>
      <x:c r="B527" s="12" t="str">
        <x:v>Protective services occupations (e.g., firefighters, police, guards, wardens, park rangers)</x:v>
      </x:c>
      <x:c r="C527" s="35" t="str">
        <x:v>33-3041.00</x:v>
      </x:c>
      <x:c r="D527" s="12" t="str">
        <x:v>Parking Enforcement Workers</x:v>
      </x:c>
      <x:c r="E527" s="2" t="str">
        <x:v>Include</x:v>
      </x:c>
      <x:c r="F527" s="2" t="str">
        <x:v>Yes</x:v>
      </x:c>
      <x:c r="G527" s="15" t="str">
        <x:v>6/6</x:v>
      </x:c>
      <x:c r="H527" s="18" t="n">
        <x:v>2</x:v>
      </x:c>
      <x:c r="I527" s="18" t="n">
        <x:v>2.67</x:v>
      </x:c>
      <x:c r="J527" s="18" t="n">
        <x:v>2.33</x:v>
      </x:c>
      <x:c r="K527" s="18" t="n">
        <x:v>4</x:v>
      </x:c>
      <x:c r="L527" s="18" t="n">
        <x:v>4</x:v>
      </x:c>
      <x:c r="M527" s="18" t="n">
        <x:v>3.33</x:v>
      </x:c>
      <x:c r="N527" s="12" t="str">
        <x:v>Patrol assigned area, such as public parking lot or city streets to issue tickets to overtime parking violators and illegally parked vehicles.</x:v>
      </x:c>
      <x:c r="O527" s="12" t="str">
        <x:v>https://www.onetonline.org/link/summary/33-3041.00</x:v>
      </x:c>
      <x:c r="P527" s="12" t="str">
        <x:v>SOC33 protective service occupations.</x:v>
      </x:c>
    </x:row>
    <x:row r="528" ht="37.5" customHeight="1">
      <x:c r="A528" s="15" t="str">
        <x:v>782220</x:v>
      </x:c>
      <x:c r="B528" s="12" t="str">
        <x:v>Protective services occupations (e.g., firefighters, police, guards, wardens, park rangers)</x:v>
      </x:c>
      <x:c r="C528" s="35" t="str">
        <x:v>33-3051.00</x:v>
      </x:c>
      <x:c r="D528" s="12" t="str">
        <x:v>Police and Sheriff's Patrol Officers</x:v>
      </x:c>
      <x:c r="E528" s="2" t="str">
        <x:v>Include</x:v>
      </x:c>
      <x:c r="F528" s="2" t="str">
        <x:v>Yes</x:v>
      </x:c>
      <x:c r="G528" s="15" t="str">
        <x:v>6/6</x:v>
      </x:c>
      <x:c r="H528" s="18" t="n">
        <x:v>5.67</x:v>
      </x:c>
      <x:c r="I528" s="18" t="n">
        <x:v>4.75</x:v>
      </x:c>
      <x:c r="J528" s="18" t="n">
        <x:v>5.17</x:v>
      </x:c>
      <x:c r="K528" s="18" t="n">
        <x:v>5.67</x:v>
      </x:c>
      <x:c r="L528" s="18" t="n">
        <x:v>5.67</x:v>
      </x:c>
      <x:c r="M528" s="18" t="n">
        <x:v>5.67</x:v>
      </x:c>
      <x:c r="N528" s="12" t="str">
        <x:v>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x:v>
      </x:c>
      <x:c r="O528" s="12" t="str">
        <x:v>https://www.onetonline.org/link/summary/33-3051.00</x:v>
      </x:c>
      <x:c r="P528" s="12" t="str">
        <x:v>SOC33 protective service occupations.</x:v>
      </x:c>
    </x:row>
    <x:row r="529" ht="37.5" customHeight="1">
      <x:c r="A529" s="15" t="str">
        <x:v>782220</x:v>
      </x:c>
      <x:c r="B529" s="12" t="str">
        <x:v>Protective services occupations (e.g., firefighters, police, guards, wardens, park rangers)</x:v>
      </x:c>
      <x:c r="C529" s="35" t="str">
        <x:v>33-3052.00</x:v>
      </x:c>
      <x:c r="D529" s="12" t="str">
        <x:v>Transit and Railroad Police</x:v>
      </x:c>
      <x:c r="E529" s="2" t="str">
        <x:v>Include</x:v>
      </x:c>
      <x:c r="F529" s="2" t="str">
        <x:v>Yes</x:v>
      </x:c>
      <x:c r="G529" s="15" t="str">
        <x:v>6/6</x:v>
      </x:c>
      <x:c r="H529" s="18" t="n">
        <x:v>4</x:v>
      </x:c>
      <x:c r="I529" s="18" t="n">
        <x:v>4.83</x:v>
      </x:c>
      <x:c r="J529" s="18" t="n">
        <x:v>3.33</x:v>
      </x:c>
      <x:c r="K529" s="18" t="n">
        <x:v>5</x:v>
      </x:c>
      <x:c r="L529" s="18" t="n">
        <x:v>5</x:v>
      </x:c>
      <x:c r="M529" s="18" t="n">
        <x:v>5</x:v>
      </x:c>
      <x:c r="N529" s="12" t="str">
        <x:v>Protect and police railroad and transit property, employees, or passengers.</x:v>
      </x:c>
      <x:c r="O529" s="12" t="str">
        <x:v>https://www.onetonline.org/link/summary/33-3052.00</x:v>
      </x:c>
      <x:c r="P529" s="12" t="str">
        <x:v>SOC33 protective service occupations.</x:v>
      </x:c>
    </x:row>
    <x:row r="530" ht="37.5" customHeight="1">
      <x:c r="A530" s="15" t="str">
        <x:v>782220</x:v>
      </x:c>
      <x:c r="B530" s="12" t="str">
        <x:v>Protective services occupations (e.g., firefighters, police, guards, wardens, park rangers)</x:v>
      </x:c>
      <x:c r="C530" s="35" t="str">
        <x:v>33-9011.00</x:v>
      </x:c>
      <x:c r="D530" s="12" t="str">
        <x:v>Animal Control Workers</x:v>
      </x:c>
      <x:c r="E530" s="2" t="str">
        <x:v>Include</x:v>
      </x:c>
      <x:c r="F530" s="2" t="str">
        <x:v>Yes</x:v>
      </x:c>
      <x:c r="G530" s="15" t="str">
        <x:v>6/6</x:v>
      </x:c>
      <x:c r="H530" s="18" t="n">
        <x:v>4</x:v>
      </x:c>
      <x:c r="I530" s="18" t="n">
        <x:v>4</x:v>
      </x:c>
      <x:c r="J530" s="18" t="n">
        <x:v>2.67</x:v>
      </x:c>
      <x:c r="K530" s="18" t="n">
        <x:v>5.33</x:v>
      </x:c>
      <x:c r="L530" s="18" t="n">
        <x:v>5</x:v>
      </x:c>
      <x:c r="M530" s="18" t="n">
        <x:v>5.33</x:v>
      </x:c>
      <x:c r="N530" s="12" t="str">
        <x:v>Handle animals for the purpose of investigations of mistreatment, or control of abandoned, dangerous, or unattended animals.</x:v>
      </x:c>
      <x:c r="O530" s="12" t="str">
        <x:v>https://www.onetonline.org/link/summary/33-9011.00</x:v>
      </x:c>
      <x:c r="P530" s="12" t="str">
        <x:v>SOC33 protective service occupations.</x:v>
      </x:c>
    </x:row>
    <x:row r="531" ht="37.5" customHeight="1">
      <x:c r="A531" s="15" t="str">
        <x:v>782220</x:v>
      </x:c>
      <x:c r="B531" s="12" t="str">
        <x:v>Protective services occupations (e.g., firefighters, police, guards, wardens, park rangers)</x:v>
      </x:c>
      <x:c r="C531" s="35" t="str">
        <x:v>33-9021.00</x:v>
      </x:c>
      <x:c r="D531" s="12" t="str">
        <x:v>Private Detectives and Investigators</x:v>
      </x:c>
      <x:c r="E531" s="2" t="str">
        <x:v>Include</x:v>
      </x:c>
      <x:c r="F531" s="2" t="str">
        <x:v>Yes</x:v>
      </x:c>
      <x:c r="G531" s="15" t="str">
        <x:v>6/6</x:v>
      </x:c>
      <x:c r="H531" s="18" t="n">
        <x:v>5.33</x:v>
      </x:c>
      <x:c r="I531" s="18" t="n">
        <x:v>3.83</x:v>
      </x:c>
      <x:c r="J531" s="18" t="n">
        <x:v>4.33</x:v>
      </x:c>
      <x:c r="K531" s="18" t="n">
        <x:v>3.33</x:v>
      </x:c>
      <x:c r="L531" s="18" t="n">
        <x:v>2.67</x:v>
      </x:c>
      <x:c r="M531" s="18" t="n">
        <x:v>5.33</x:v>
      </x:c>
      <x:c r="N531" s="12" t="str">
        <x:v>Gather, analyze, compile, and report information regarding individuals or organizations to clients, or detect occurrences of unlawful acts or infractions of rules in private establishment.</x:v>
      </x:c>
      <x:c r="O531" s="12" t="str">
        <x:v>https://www.onetonline.org/link/summary/33-9021.00</x:v>
      </x:c>
      <x:c r="P531" s="12" t="str">
        <x:v>SOC33 protective service occupations.</x:v>
      </x:c>
    </x:row>
    <x:row r="532" ht="37.5" customHeight="1">
      <x:c r="A532" s="15" t="str">
        <x:v>782220</x:v>
      </x:c>
      <x:c r="B532" s="12" t="str">
        <x:v>Protective services occupations (e.g., firefighters, police, guards, wardens, park rangers)</x:v>
      </x:c>
      <x:c r="C532" s="35" t="str">
        <x:v>33-9031.00</x:v>
      </x:c>
      <x:c r="D532" s="12" t="str">
        <x:v>Gambling Surveillance Officers and Gambling Investigators</x:v>
      </x:c>
      <x:c r="E532" s="2" t="str">
        <x:v>Include</x:v>
      </x:c>
      <x:c r="F532" s="2" t="str">
        <x:v>Yes</x:v>
      </x:c>
      <x:c r="G532" s="15" t="str">
        <x:v>6/6</x:v>
      </x:c>
      <x:c r="H532" s="18" t="n">
        <x:v>4</x:v>
      </x:c>
      <x:c r="I532" s="18" t="n">
        <x:v>3.67</x:v>
      </x:c>
      <x:c r="J532" s="18" t="n">
        <x:v>3.33</x:v>
      </x:c>
      <x:c r="K532" s="18" t="n">
        <x:v>2.67</x:v>
      </x:c>
      <x:c r="L532" s="18" t="n">
        <x:v>5</x:v>
      </x:c>
      <x:c r="M532" s="18" t="n">
        <x:v>5</x:v>
      </x:c>
      <x:c r="N532" s="12" t="str">
        <x:v>Observe gambling operation for irregular activities such as cheating or theft by either employees or patrons. Investigate potential threats to gambling assets such as money, chips, and gambling equipment. Act as oversight and security agent for management and customers.</x:v>
      </x:c>
      <x:c r="O532" s="12" t="str">
        <x:v>https://www.onetonline.org/link/summary/33-9031.00</x:v>
      </x:c>
      <x:c r="P532" s="12" t="str">
        <x:v>SOC33 protective service occupations.</x:v>
      </x:c>
    </x:row>
    <x:row r="533" ht="37.5" customHeight="1">
      <x:c r="A533" s="15" t="str">
        <x:v>782220</x:v>
      </x:c>
      <x:c r="B533" s="12" t="str">
        <x:v>Protective services occupations (e.g., firefighters, police, guards, wardens, park rangers)</x:v>
      </x:c>
      <x:c r="C533" s="35" t="str">
        <x:v>33-9032.00</x:v>
      </x:c>
      <x:c r="D533" s="12" t="str">
        <x:v>Security Guards</x:v>
      </x:c>
      <x:c r="E533" s="2" t="str">
        <x:v>Include</x:v>
      </x:c>
      <x:c r="F533" s="2" t="str">
        <x:v>Yes</x:v>
      </x:c>
      <x:c r="G533" s="15" t="str">
        <x:v>6/6</x:v>
      </x:c>
      <x:c r="H533" s="18" t="n">
        <x:v>3.33</x:v>
      </x:c>
      <x:c r="I533" s="18" t="n">
        <x:v>3</x:v>
      </x:c>
      <x:c r="J533" s="18" t="n">
        <x:v>3</x:v>
      </x:c>
      <x:c r="K533" s="18" t="n">
        <x:v>5</x:v>
      </x:c>
      <x:c r="L533" s="18" t="n">
        <x:v>5.33</x:v>
      </x:c>
      <x:c r="M533" s="18" t="n">
        <x:v>4.67</x:v>
      </x:c>
      <x:c r="N533" s="12" t="str">
        <x:v>Guard, patrol, or monitor premises to prevent theft, violence, or infractions of rules. May operate x-ray and metal detector equipment.</x:v>
      </x:c>
      <x:c r="O533" s="12" t="str">
        <x:v>https://www.onetonline.org/link/summary/33-9032.00</x:v>
      </x:c>
      <x:c r="P533" s="12" t="str">
        <x:v>SOC33 protective service occupations.</x:v>
      </x:c>
    </x:row>
    <x:row r="534" ht="37.5" customHeight="1">
      <x:c r="A534" s="15" t="str">
        <x:v>782220</x:v>
      </x:c>
      <x:c r="B534" s="12" t="str">
        <x:v>Protective services occupations (e.g., firefighters, police, guards, wardens, park rangers)</x:v>
      </x:c>
      <x:c r="C534" s="35" t="str">
        <x:v>33-9091.00</x:v>
      </x:c>
      <x:c r="D534" s="12" t="str">
        <x:v>Crossing Guards and Flaggers</x:v>
      </x:c>
      <x:c r="E534" s="2" t="str">
        <x:v>Include</x:v>
      </x:c>
      <x:c r="F534" s="2" t="str">
        <x:v>Yes</x:v>
      </x:c>
      <x:c r="G534" s="15" t="str">
        <x:v>6/6</x:v>
      </x:c>
      <x:c r="H534" s="18" t="n">
        <x:v>2</x:v>
      </x:c>
      <x:c r="I534" s="18" t="n">
        <x:v>1.83</x:v>
      </x:c>
      <x:c r="J534" s="18" t="n">
        <x:v>2.33</x:v>
      </x:c>
      <x:c r="K534" s="18" t="n">
        <x:v>3.33</x:v>
      </x:c>
      <x:c r="L534" s="18" t="n">
        <x:v>3</x:v>
      </x:c>
      <x:c r="M534" s="18" t="n">
        <x:v>3</x:v>
      </x:c>
      <x:c r="N534" s="12" t="str">
        <x:v>Guide or control vehicular or pedestrian traffic at such places as streets, schools, railroad crossings, or construction sites.</x:v>
      </x:c>
      <x:c r="O534" s="12" t="str">
        <x:v>https://www.onetonline.org/link/summary/33-9091.00</x:v>
      </x:c>
      <x:c r="P534" s="12" t="str">
        <x:v>SOC33 protective service occupations.</x:v>
      </x:c>
    </x:row>
    <x:row r="535" ht="37.5" customHeight="1">
      <x:c r="A535" s="15" t="str">
        <x:v>782220</x:v>
      </x:c>
      <x:c r="B535" s="12" t="str">
        <x:v>Protective services occupations (e.g., firefighters, police, guards, wardens, park rangers)</x:v>
      </x:c>
      <x:c r="C535" s="35" t="str">
        <x:v>33-9092.00</x:v>
      </x:c>
      <x:c r="D535" s="12" t="str">
        <x:v>Lifeguards, Ski Patrol, and Other Recreational Protective Service Workers</x:v>
      </x:c>
      <x:c r="E535" s="2" t="str">
        <x:v>Include</x:v>
      </x:c>
      <x:c r="F535" s="2" t="str">
        <x:v>Yes</x:v>
      </x:c>
      <x:c r="G535" s="15" t="str">
        <x:v>6/6</x:v>
      </x:c>
      <x:c r="H535" s="18" t="n">
        <x:v>5</x:v>
      </x:c>
      <x:c r="I535" s="18" t="n">
        <x:v>2.83</x:v>
      </x:c>
      <x:c r="J535" s="18" t="n">
        <x:v>3</x:v>
      </x:c>
      <x:c r="K535" s="18" t="n">
        <x:v>5.67</x:v>
      </x:c>
      <x:c r="L535" s="18" t="n">
        <x:v>5.33</x:v>
      </x:c>
      <x:c r="M535" s="18" t="n">
        <x:v>4.67</x:v>
      </x:c>
      <x:c r="N535" s="12" t="str">
        <x:v>Monitor recreational areas, such as pools, beaches, or ski slopes, to provide assistance and protection to participants.</x:v>
      </x:c>
      <x:c r="O535" s="12" t="str">
        <x:v>https://www.onetonline.org/link/summary/33-9092.00</x:v>
      </x:c>
      <x:c r="P535" s="12" t="str">
        <x:v>SOC33 protective service occupations.</x:v>
      </x:c>
    </x:row>
    <x:row r="536" ht="37.5" customHeight="1">
      <x:c r="A536" s="15" t="str">
        <x:v>782220</x:v>
      </x:c>
      <x:c r="B536" s="12" t="str">
        <x:v>Protective services occupations (e.g., firefighters, police, guards, wardens, park rangers)</x:v>
      </x:c>
      <x:c r="C536" s="35" t="str">
        <x:v>33-9093.00</x:v>
      </x:c>
      <x:c r="D536" s="12" t="str">
        <x:v>Transportation Security Screeners</x:v>
      </x:c>
      <x:c r="E536" s="2" t="str">
        <x:v>Include</x:v>
      </x:c>
      <x:c r="F536" s="2" t="str">
        <x:v>Yes</x:v>
      </x:c>
      <x:c r="G536" s="15" t="str">
        <x:v>6/6</x:v>
      </x:c>
      <x:c r="H536" s="18" t="n">
        <x:v>2.67</x:v>
      </x:c>
      <x:c r="I536" s="18" t="n">
        <x:v>3.17</x:v>
      </x:c>
      <x:c r="J536" s="18" t="n">
        <x:v>3.33</x:v>
      </x:c>
      <x:c r="K536" s="18" t="n">
        <x:v>5</x:v>
      </x:c>
      <x:c r="L536" s="18" t="n">
        <x:v>6</x:v>
      </x:c>
      <x:c r="M536" s="18" t="n">
        <x:v>3.33</x:v>
      </x:c>
      <x:c r="N536" s="12" t="str">
        <x:v>Conduct screening of passengers, baggage, or cargo to ensure compliance with Transportation Security Administration (TSA) regulations. May operate basic security equipment such as x-ray machines and hand wands at screening checkpoints.</x:v>
      </x:c>
      <x:c r="O536" s="12" t="str">
        <x:v>https://www.onetonline.org/link/summary/33-9093.00</x:v>
      </x:c>
      <x:c r="P536" s="12" t="str">
        <x:v>SOC33 protective service occupations.</x:v>
      </x:c>
    </x:row>
    <x:row r="537" ht="37.5" customHeight="1">
      <x:c r="A537" s="15" t="str">
        <x:v>782220</x:v>
      </x:c>
      <x:c r="B537" s="12" t="str">
        <x:v>Protective services occupations (e.g., firefighters, police, guards, wardens, park rangers)</x:v>
      </x:c>
      <x:c r="C537" s="35" t="str">
        <x:v>33-9094.00</x:v>
      </x:c>
      <x:c r="D537" s="12" t="str">
        <x:v>School Bus Monitors</x:v>
      </x:c>
      <x:c r="E537" s="2" t="str">
        <x:v>Exclude (no Work Values)</x:v>
      </x:c>
      <x:c r="F537" s="2" t="str">
        <x:v>Yes</x:v>
      </x:c>
      <x:c r="G537" s="15" t="str">
        <x:v>0/6</x:v>
      </x:c>
      <x:c r="H537" s="18"/>
      <x:c r="I537" s="18"/>
      <x:c r="J537" s="18"/>
      <x:c r="K537" s="18"/>
      <x:c r="L537" s="18"/>
      <x:c r="M537" s="18"/>
      <x:c r="N537" s="12" t="str">
        <x:v>Maintain order among students on a school bus. Duties include helping students safely board and exit and communicating behavioral problems. May perform pretrip and posttrip inspections and prepare for and assist in emergency evacuations.</x:v>
      </x:c>
      <x:c r="O537" s="12" t="str">
        <x:v>https://www.onetonline.org/link/summary/33-9094.00</x:v>
      </x:c>
      <x:c r="P537" s="12" t="str">
        <x:v>SOC33 protective service occupations.</x:v>
      </x:c>
    </x:row>
    <x:row r="538" ht="37.5" customHeight="1">
      <x:c r="A538" s="15" t="str">
        <x:v>782220</x:v>
      </x:c>
      <x:c r="B538" s="12" t="str">
        <x:v>Protective services occupations (e.g., firefighters, police, guards, wardens, park rangers)</x:v>
      </x:c>
      <x:c r="C538" s="35" t="str">
        <x:v>33-9099.00</x:v>
      </x:c>
      <x:c r="D538" s="12" t="str">
        <x:v>Protective Service Workers, All Other</x:v>
      </x:c>
      <x:c r="E538" s="2" t="str">
        <x:v>Exclude (no Work Values)</x:v>
      </x:c>
      <x:c r="F538" s="2" t="str">
        <x:v>Yes</x:v>
      </x:c>
      <x:c r="G538" s="15" t="str">
        <x:v>0/6</x:v>
      </x:c>
      <x:c r="H538" s="18"/>
      <x:c r="I538" s="18"/>
      <x:c r="J538" s="18"/>
      <x:c r="K538" s="18"/>
      <x:c r="L538" s="18"/>
      <x:c r="M538" s="18"/>
      <x:c r="N538" s="12" t="str">
        <x:v>All protective service workers not listed separately.</x:v>
      </x:c>
      <x:c r="O538" s="12" t="str">
        <x:v>https://www.onetonline.org/link/summary/33-9099.00</x:v>
      </x:c>
      <x:c r="P538" s="12" t="str">
        <x:v>SOC33 protective service occupations.</x:v>
      </x:c>
    </x:row>
    <x:row r="539" ht="50.25" customHeight="1">
      <x:c r="A539" s="15" t="str">
        <x:v>782230</x:v>
      </x:c>
      <x:c r="B539" s="12" t="str">
        <x:v>Other service occupations, except health (e.g., personal care service occupations, building and grounds cleaning and maintenance occupations, etc.)</x:v>
      </x:c>
      <x:c r="C539" s="35" t="str">
        <x:v>37-1011.00</x:v>
      </x:c>
      <x:c r="D539" s="12" t="str">
        <x:v>First-Line Supervisors of Housekeeping and Janitorial Workers</x:v>
      </x:c>
      <x:c r="E539" s="2" t="str">
        <x:v>Include</x:v>
      </x:c>
      <x:c r="F539" s="2" t="str">
        <x:v>Yes</x:v>
      </x:c>
      <x:c r="G539" s="15" t="str">
        <x:v>6/6</x:v>
      </x:c>
      <x:c r="H539" s="18" t="n">
        <x:v>3.67</x:v>
      </x:c>
      <x:c r="I539" s="18" t="n">
        <x:v>3.83</x:v>
      </x:c>
      <x:c r="J539" s="18" t="n">
        <x:v>3.33</x:v>
      </x:c>
      <x:c r="K539" s="18" t="n">
        <x:v>3.67</x:v>
      </x:c>
      <x:c r="L539" s="18" t="n">
        <x:v>5</x:v>
      </x:c>
      <x:c r="M539" s="18" t="n">
        <x:v>5.67</x:v>
      </x:c>
      <x:c r="N539" s="12" t="str">
        <x:v>Directly supervise and coordinate work activities of cleaning personnel in hotels, hospitals, offices, and other establishments.</x:v>
      </x:c>
      <x:c r="O539" s="12" t="str">
        <x:v>https://www.onetonline.org/link/summary/37-1011.00</x:v>
      </x:c>
      <x:c r="P539" s="12" t="str">
        <x:v>SOC37 building/grounds maintenance plus SOC39 personal care; exclude healthcare support.</x:v>
      </x:c>
    </x:row>
    <x:row r="540" ht="50.25" customHeight="1">
      <x:c r="A540" s="15" t="str">
        <x:v>782230</x:v>
      </x:c>
      <x:c r="B540" s="12" t="str">
        <x:v>Other service occupations, except health (e.g., personal care service occupations, building and grounds cleaning and maintenance occupations, etc.)</x:v>
      </x:c>
      <x:c r="C540" s="35" t="str">
        <x:v>37-1012.00</x:v>
      </x:c>
      <x:c r="D540" s="12" t="str">
        <x:v>First-Line Supervisors of Landscaping, Lawn Service, and Groundskeeping Workers</x:v>
      </x:c>
      <x:c r="E540" s="2" t="str">
        <x:v>Include</x:v>
      </x:c>
      <x:c r="F540" s="2" t="str">
        <x:v>Yes</x:v>
      </x:c>
      <x:c r="G540" s="15" t="str">
        <x:v>6/6</x:v>
      </x:c>
      <x:c r="H540" s="18" t="n">
        <x:v>4</x:v>
      </x:c>
      <x:c r="I540" s="18" t="n">
        <x:v>4.17</x:v>
      </x:c>
      <x:c r="J540" s="18" t="n">
        <x:v>3</x:v>
      </x:c>
      <x:c r="K540" s="18" t="n">
        <x:v>5</x:v>
      </x:c>
      <x:c r="L540" s="18" t="n">
        <x:v>4</x:v>
      </x:c>
      <x:c r="M540" s="18" t="n">
        <x:v>5.33</x:v>
      </x:c>
      <x:c r="N540" s="12" t="str">
        <x:v>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x:v>
      </x:c>
      <x:c r="O540" s="12" t="str">
        <x:v>https://www.onetonline.org/link/summary/37-1012.00</x:v>
      </x:c>
      <x:c r="P540" s="12" t="str">
        <x:v>SOC37 building/grounds maintenance plus SOC39 personal care; exclude healthcare support.</x:v>
      </x:c>
    </x:row>
    <x:row r="541" ht="50.25" customHeight="1">
      <x:c r="A541" s="15" t="str">
        <x:v>782230</x:v>
      </x:c>
      <x:c r="B541" s="12" t="str">
        <x:v>Other service occupations, except health (e.g., personal care service occupations, building and grounds cleaning and maintenance occupations, etc.)</x:v>
      </x:c>
      <x:c r="C541" s="35" t="str">
        <x:v>37-2011.00</x:v>
      </x:c>
      <x:c r="D541" s="12" t="str">
        <x:v>Janitors and Cleaners, Except Maids and Housekeeping Cleaners</x:v>
      </x:c>
      <x:c r="E541" s="2" t="str">
        <x:v>Include</x:v>
      </x:c>
      <x:c r="F541" s="2" t="str">
        <x:v>Yes</x:v>
      </x:c>
      <x:c r="G541" s="15" t="str">
        <x:v>6/6</x:v>
      </x:c>
      <x:c r="H541" s="18" t="n">
        <x:v>1.67</x:v>
      </x:c>
      <x:c r="I541" s="18" t="n">
        <x:v>2</x:v>
      </x:c>
      <x:c r="J541" s="18" t="n">
        <x:v>1.33</x:v>
      </x:c>
      <x:c r="K541" s="18" t="n">
        <x:v>4.33</x:v>
      </x:c>
      <x:c r="L541" s="18" t="n">
        <x:v>3</x:v>
      </x:c>
      <x:c r="M541" s="18" t="n">
        <x:v>2</x:v>
      </x:c>
      <x:c r="N541" s="12" t="str">
        <x:v>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x:v>
      </x:c>
      <x:c r="O541" s="12" t="str">
        <x:v>https://www.onetonline.org/link/summary/37-2011.00</x:v>
      </x:c>
      <x:c r="P541" s="12" t="str">
        <x:v>SOC37 building/grounds maintenance plus SOC39 personal care; exclude healthcare support.</x:v>
      </x:c>
    </x:row>
    <x:row r="542" ht="50.25" customHeight="1">
      <x:c r="A542" s="15" t="str">
        <x:v>782230</x:v>
      </x:c>
      <x:c r="B542" s="12" t="str">
        <x:v>Other service occupations, except health (e.g., personal care service occupations, building and grounds cleaning and maintenance occupations, etc.)</x:v>
      </x:c>
      <x:c r="C542" s="35" t="str">
        <x:v>37-2012.00</x:v>
      </x:c>
      <x:c r="D542" s="12" t="str">
        <x:v>Maids and Housekeeping Cleaners</x:v>
      </x:c>
      <x:c r="E542" s="2" t="str">
        <x:v>Include</x:v>
      </x:c>
      <x:c r="F542" s="2" t="str">
        <x:v>Yes</x:v>
      </x:c>
      <x:c r="G542" s="15" t="str">
        <x:v>6/6</x:v>
      </x:c>
      <x:c r="H542" s="18" t="n">
        <x:v>1.67</x:v>
      </x:c>
      <x:c r="I542" s="18" t="n">
        <x:v>1.67</x:v>
      </x:c>
      <x:c r="J542" s="18" t="n">
        <x:v>1</x:v>
      </x:c>
      <x:c r="K542" s="18" t="n">
        <x:v>5.33</x:v>
      </x:c>
      <x:c r="L542" s="18" t="n">
        <x:v>2.67</x:v>
      </x:c>
      <x:c r="M542" s="18" t="n">
        <x:v>2</x:v>
      </x:c>
      <x:c r="N542" s="12" t="str">
        <x:v>Perform any combination of light cleaning duties to maintain private households or commercial establishments, such as hotels and hospitals, in a clean and orderly manner. Duties may include making beds, replenishing linens, cleaning rooms and halls, and vacuuming.</x:v>
      </x:c>
      <x:c r="O542" s="12" t="str">
        <x:v>https://www.onetonline.org/link/summary/37-2012.00</x:v>
      </x:c>
      <x:c r="P542" s="12" t="str">
        <x:v>SOC37 building/grounds maintenance plus SOC39 personal care; exclude healthcare support.</x:v>
      </x:c>
    </x:row>
    <x:row r="543" ht="50.25" customHeight="1">
      <x:c r="A543" s="15" t="str">
        <x:v>782230</x:v>
      </x:c>
      <x:c r="B543" s="12" t="str">
        <x:v>Other service occupations, except health (e.g., personal care service occupations, building and grounds cleaning and maintenance occupations, etc.)</x:v>
      </x:c>
      <x:c r="C543" s="35" t="str">
        <x:v>37-2019.00</x:v>
      </x:c>
      <x:c r="D543" s="12" t="str">
        <x:v>Building Cleaning Workers, All Other</x:v>
      </x:c>
      <x:c r="E543" s="2" t="str">
        <x:v>Exclude (no Work Values)</x:v>
      </x:c>
      <x:c r="F543" s="2" t="str">
        <x:v>Yes</x:v>
      </x:c>
      <x:c r="G543" s="15" t="str">
        <x:v>0/6</x:v>
      </x:c>
      <x:c r="H543" s="18"/>
      <x:c r="I543" s="18"/>
      <x:c r="J543" s="18"/>
      <x:c r="K543" s="18"/>
      <x:c r="L543" s="18"/>
      <x:c r="M543" s="18"/>
      <x:c r="N543" s="12" t="str">
        <x:v>All building cleaning workers not listed separately.</x:v>
      </x:c>
      <x:c r="O543" s="12" t="str">
        <x:v>https://www.onetonline.org/link/summary/37-2019.00</x:v>
      </x:c>
      <x:c r="P543" s="12" t="str">
        <x:v>SOC37 building/grounds maintenance plus SOC39 personal care; exclude healthcare support.</x:v>
      </x:c>
    </x:row>
    <x:row r="544" ht="50.25" customHeight="1">
      <x:c r="A544" s="15" t="str">
        <x:v>782230</x:v>
      </x:c>
      <x:c r="B544" s="12" t="str">
        <x:v>Other service occupations, except health (e.g., personal care service occupations, building and grounds cleaning and maintenance occupations, etc.)</x:v>
      </x:c>
      <x:c r="C544" s="35" t="str">
        <x:v>37-2021.00</x:v>
      </x:c>
      <x:c r="D544" s="12" t="str">
        <x:v>Pest Control Workers</x:v>
      </x:c>
      <x:c r="E544" s="2" t="str">
        <x:v>Include</x:v>
      </x:c>
      <x:c r="F544" s="2" t="str">
        <x:v>Yes</x:v>
      </x:c>
      <x:c r="G544" s="15" t="str">
        <x:v>6/6</x:v>
      </x:c>
      <x:c r="H544" s="18" t="n">
        <x:v>3.33</x:v>
      </x:c>
      <x:c r="I544" s="18" t="n">
        <x:v>3</x:v>
      </x:c>
      <x:c r="J544" s="18" t="n">
        <x:v>2.33</x:v>
      </x:c>
      <x:c r="K544" s="18" t="n">
        <x:v>4.67</x:v>
      </x:c>
      <x:c r="L544" s="18" t="n">
        <x:v>5</x:v>
      </x:c>
      <x:c r="M544" s="18" t="n">
        <x:v>5.33</x:v>
      </x:c>
      <x:c r="N544" s="12" t="str">
        <x:v>Apply or release chemical solutions or toxic gases and set traps to kill or remove pests and vermin that infest buildings and surrounding areas.</x:v>
      </x:c>
      <x:c r="O544" s="12" t="str">
        <x:v>https://www.onetonline.org/link/summary/37-2021.00</x:v>
      </x:c>
      <x:c r="P544" s="12" t="str">
        <x:v>SOC37 building/grounds maintenance plus SOC39 personal care; exclude healthcare support.</x:v>
      </x:c>
    </x:row>
    <x:row r="545" ht="50.25" customHeight="1">
      <x:c r="A545" s="15" t="str">
        <x:v>782230</x:v>
      </x:c>
      <x:c r="B545" s="12" t="str">
        <x:v>Other service occupations, except health (e.g., personal care service occupations, building and grounds cleaning and maintenance occupations, etc.)</x:v>
      </x:c>
      <x:c r="C545" s="35" t="str">
        <x:v>37-3011.00</x:v>
      </x:c>
      <x:c r="D545" s="12" t="str">
        <x:v>Landscaping and Groundskeeping Workers</x:v>
      </x:c>
      <x:c r="E545" s="2" t="str">
        <x:v>Include</x:v>
      </x:c>
      <x:c r="F545" s="2" t="str">
        <x:v>Yes</x:v>
      </x:c>
      <x:c r="G545" s="15" t="str">
        <x:v>6/6</x:v>
      </x:c>
      <x:c r="H545" s="18" t="n">
        <x:v>2.67</x:v>
      </x:c>
      <x:c r="I545" s="18" t="n">
        <x:v>3</x:v>
      </x:c>
      <x:c r="J545" s="18" t="n">
        <x:v>2</x:v>
      </x:c>
      <x:c r="K545" s="18" t="n">
        <x:v>3.33</x:v>
      </x:c>
      <x:c r="L545" s="18" t="n">
        <x:v>3</x:v>
      </x:c>
      <x:c r="M545" s="18" t="n">
        <x:v>2.67</x:v>
      </x:c>
      <x:c r="N545" s="12" t="str">
        <x:v>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x:v>
      </x:c>
      <x:c r="O545" s="12" t="str">
        <x:v>https://www.onetonline.org/link/summary/37-3011.00</x:v>
      </x:c>
      <x:c r="P545" s="12" t="str">
        <x:v>SOC37 building/grounds maintenance plus SOC39 personal care; exclude healthcare support.</x:v>
      </x:c>
    </x:row>
    <x:row r="546" ht="50.25" customHeight="1">
      <x:c r="A546" s="15" t="str">
        <x:v>782230</x:v>
      </x:c>
      <x:c r="B546" s="12" t="str">
        <x:v>Other service occupations, except health (e.g., personal care service occupations, building and grounds cleaning and maintenance occupations, etc.)</x:v>
      </x:c>
      <x:c r="C546" s="35" t="str">
        <x:v>37-3012.00</x:v>
      </x:c>
      <x:c r="D546" s="12" t="str">
        <x:v>Pesticide Handlers, Sprayers, and Applicators, Vegetation</x:v>
      </x:c>
      <x:c r="E546" s="2" t="str">
        <x:v>Include</x:v>
      </x:c>
      <x:c r="F546" s="2" t="str">
        <x:v>Yes</x:v>
      </x:c>
      <x:c r="G546" s="15" t="str">
        <x:v>6/6</x:v>
      </x:c>
      <x:c r="H546" s="18" t="n">
        <x:v>2</x:v>
      </x:c>
      <x:c r="I546" s="18" t="n">
        <x:v>3.5</x:v>
      </x:c>
      <x:c r="J546" s="18" t="n">
        <x:v>2</x:v>
      </x:c>
      <x:c r="K546" s="18" t="n">
        <x:v>3.33</x:v>
      </x:c>
      <x:c r="L546" s="18" t="n">
        <x:v>5.67</x:v>
      </x:c>
      <x:c r="M546" s="18" t="n">
        <x:v>4</x:v>
      </x:c>
      <x:c r="N546" s="12" t="str">
        <x:v>Mix or apply pesticides, herbicides, fungicides, or insecticides through sprays, dusts, vapors, soil incorporation, or chemical application on trees, shrubs, lawns, or crops. Usually requires specific training and state or federal certification.</x:v>
      </x:c>
      <x:c r="O546" s="12" t="str">
        <x:v>https://www.onetonline.org/link/summary/37-3012.00</x:v>
      </x:c>
      <x:c r="P546" s="12" t="str">
        <x:v>SOC37 building/grounds maintenance plus SOC39 personal care; exclude healthcare support.</x:v>
      </x:c>
    </x:row>
    <x:row r="547" ht="50.25" customHeight="1">
      <x:c r="A547" s="15" t="str">
        <x:v>782230</x:v>
      </x:c>
      <x:c r="B547" s="12" t="str">
        <x:v>Other service occupations, except health (e.g., personal care service occupations, building and grounds cleaning and maintenance occupations, etc.)</x:v>
      </x:c>
      <x:c r="C547" s="35" t="str">
        <x:v>37-3013.00</x:v>
      </x:c>
      <x:c r="D547" s="12" t="str">
        <x:v>Tree Trimmers and Pruners</x:v>
      </x:c>
      <x:c r="E547" s="2" t="str">
        <x:v>Include</x:v>
      </x:c>
      <x:c r="F547" s="2" t="str">
        <x:v>Yes</x:v>
      </x:c>
      <x:c r="G547" s="15" t="str">
        <x:v>6/6</x:v>
      </x:c>
      <x:c r="H547" s="18" t="n">
        <x:v>2.67</x:v>
      </x:c>
      <x:c r="I547" s="18" t="n">
        <x:v>2.83</x:v>
      </x:c>
      <x:c r="J547" s="18" t="n">
        <x:v>2.67</x:v>
      </x:c>
      <x:c r="K547" s="18" t="n">
        <x:v>4.33</x:v>
      </x:c>
      <x:c r="L547" s="18" t="n">
        <x:v>4.33</x:v>
      </x:c>
      <x:c r="M547" s="18" t="n">
        <x:v>3.33</x:v>
      </x:c>
      <x:c r="N547" s="12" t="str">
        <x:v>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x:v>
      </x:c>
      <x:c r="O547" s="12" t="str">
        <x:v>https://www.onetonline.org/link/summary/37-3013.00</x:v>
      </x:c>
      <x:c r="P547" s="12" t="str">
        <x:v>SOC37 building/grounds maintenance plus SOC39 personal care; exclude healthcare support.</x:v>
      </x:c>
    </x:row>
    <x:row r="548" ht="50.25" customHeight="1">
      <x:c r="A548" s="15" t="str">
        <x:v>782230</x:v>
      </x:c>
      <x:c r="B548" s="12" t="str">
        <x:v>Other service occupations, except health (e.g., personal care service occupations, building and grounds cleaning and maintenance occupations, etc.)</x:v>
      </x:c>
      <x:c r="C548" s="35" t="str">
        <x:v>37-3019.00</x:v>
      </x:c>
      <x:c r="D548" s="12" t="str">
        <x:v>Grounds Maintenance Workers, All Other</x:v>
      </x:c>
      <x:c r="E548" s="2" t="str">
        <x:v>Exclude (no Work Values)</x:v>
      </x:c>
      <x:c r="F548" s="2" t="str">
        <x:v>Yes</x:v>
      </x:c>
      <x:c r="G548" s="15" t="str">
        <x:v>0/6</x:v>
      </x:c>
      <x:c r="H548" s="18"/>
      <x:c r="I548" s="18"/>
      <x:c r="J548" s="18"/>
      <x:c r="K548" s="18"/>
      <x:c r="L548" s="18"/>
      <x:c r="M548" s="18"/>
      <x:c r="N548" s="12" t="str">
        <x:v>All grounds maintenance workers not listed separately.</x:v>
      </x:c>
      <x:c r="O548" s="12" t="str">
        <x:v>https://www.onetonline.org/link/summary/37-3019.00</x:v>
      </x:c>
      <x:c r="P548" s="12" t="str">
        <x:v>SOC37 building/grounds maintenance plus SOC39 personal care; exclude healthcare support.</x:v>
      </x:c>
    </x:row>
    <x:row r="549" ht="50.25" customHeight="1">
      <x:c r="A549" s="15" t="str">
        <x:v>782230</x:v>
      </x:c>
      <x:c r="B549" s="12" t="str">
        <x:v>Other service occupations, except health (e.g., personal care service occupations, building and grounds cleaning and maintenance occupations, etc.)</x:v>
      </x:c>
      <x:c r="C549" s="35" t="str">
        <x:v>39-1013.00</x:v>
      </x:c>
      <x:c r="D549" s="12" t="str">
        <x:v>First-Line Supervisors of Gambling Services Workers</x:v>
      </x:c>
      <x:c r="E549" s="2" t="str">
        <x:v>Include</x:v>
      </x:c>
      <x:c r="F549" s="2" t="str">
        <x:v>Yes</x:v>
      </x:c>
      <x:c r="G549" s="15" t="str">
        <x:v>6/6</x:v>
      </x:c>
      <x:c r="H549" s="18" t="n">
        <x:v>4.17</x:v>
      </x:c>
      <x:c r="I549" s="18" t="n">
        <x:v>3.92</x:v>
      </x:c>
      <x:c r="J549" s="18" t="n">
        <x:v>4.17</x:v>
      </x:c>
      <x:c r="K549" s="18" t="n">
        <x:v>6</x:v>
      </x:c>
      <x:c r="L549" s="18" t="n">
        <x:v>5</x:v>
      </x:c>
      <x:c r="M549" s="18" t="n">
        <x:v>5.17</x:v>
      </x:c>
      <x:c r="N549" s="12" t="str">
        <x:v>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x:v>
      </x:c>
      <x:c r="O549" s="12" t="str">
        <x:v>https://www.onetonline.org/link/summary/39-1013.00</x:v>
      </x:c>
      <x:c r="P549" s="12" t="str">
        <x:v>SOC37 building/grounds maintenance plus SOC39 personal care; exclude healthcare support.</x:v>
      </x:c>
    </x:row>
    <x:row r="550" ht="50.25" customHeight="1">
      <x:c r="A550" s="15" t="str">
        <x:v>782230</x:v>
      </x:c>
      <x:c r="B550" s="12" t="str">
        <x:v>Other service occupations, except health (e.g., personal care service occupations, building and grounds cleaning and maintenance occupations, etc.)</x:v>
      </x:c>
      <x:c r="C550" s="35" t="str">
        <x:v>39-1014.00</x:v>
      </x:c>
      <x:c r="D550" s="12" t="str">
        <x:v>First-Line Supervisors of Entertainment and Recreation Workers, Except Gambling Services</x:v>
      </x:c>
      <x:c r="E550" s="2" t="str">
        <x:v>Exclude (no Work Values)</x:v>
      </x:c>
      <x:c r="F550" s="2" t="str">
        <x:v>Yes</x:v>
      </x:c>
      <x:c r="G550" s="15" t="str">
        <x:v>0/6</x:v>
      </x:c>
      <x:c r="H550" s="18"/>
      <x:c r="I550" s="18"/>
      <x:c r="J550" s="18"/>
      <x:c r="K550" s="18"/>
      <x:c r="L550" s="18"/>
      <x:c r="M550" s="18"/>
      <x:c r="N550" s="12" t="str">
        <x:v>Directly supervise and coordinate activities of entertainment and recreation related workers.</x:v>
      </x:c>
      <x:c r="O550" s="12" t="str">
        <x:v>https://www.onetonline.org/link/summary/39-1014.00</x:v>
      </x:c>
      <x:c r="P550" s="12" t="str">
        <x:v>SOC37 building/grounds maintenance plus SOC39 personal care; exclude healthcare support.</x:v>
      </x:c>
    </x:row>
    <x:row r="551" ht="50.25" customHeight="1">
      <x:c r="A551" s="15" t="str">
        <x:v>782230</x:v>
      </x:c>
      <x:c r="B551" s="12" t="str">
        <x:v>Other service occupations, except health (e.g., personal care service occupations, building and grounds cleaning and maintenance occupations, etc.)</x:v>
      </x:c>
      <x:c r="C551" s="35" t="str">
        <x:v>39-1022.00</x:v>
      </x:c>
      <x:c r="D551" s="12" t="str">
        <x:v>First-Line Supervisors of Personal Service Workers</x:v>
      </x:c>
      <x:c r="E551" s="2" t="str">
        <x:v>Include</x:v>
      </x:c>
      <x:c r="F551" s="2" t="str">
        <x:v>Yes</x:v>
      </x:c>
      <x:c r="G551" s="15" t="str">
        <x:v>6/6</x:v>
      </x:c>
      <x:c r="H551" s="18" t="n">
        <x:v>4.33</x:v>
      </x:c>
      <x:c r="I551" s="18" t="n">
        <x:v>4.17</x:v>
      </x:c>
      <x:c r="J551" s="18" t="n">
        <x:v>3.67</x:v>
      </x:c>
      <x:c r="K551" s="18" t="n">
        <x:v>5.67</x:v>
      </x:c>
      <x:c r="L551" s="18" t="n">
        <x:v>5.33</x:v>
      </x:c>
      <x:c r="M551" s="18" t="n">
        <x:v>5.33</x:v>
      </x:c>
      <x:c r="N551" s="12" t="str">
        <x:v>Supervise and coordinate activities of personal service workers.</x:v>
      </x:c>
      <x:c r="O551" s="12" t="str">
        <x:v>https://www.onetonline.org/link/summary/39-1022.00</x:v>
      </x:c>
      <x:c r="P551" s="12" t="str">
        <x:v>SOC37 building/grounds maintenance plus SOC39 personal care; exclude healthcare support.</x:v>
      </x:c>
    </x:row>
    <x:row r="552" ht="50.25" customHeight="1">
      <x:c r="A552" s="15" t="str">
        <x:v>782230</x:v>
      </x:c>
      <x:c r="B552" s="12" t="str">
        <x:v>Other service occupations, except health (e.g., personal care service occupations, building and grounds cleaning and maintenance occupations, etc.)</x:v>
      </x:c>
      <x:c r="C552" s="35" t="str">
        <x:v>39-2011.00</x:v>
      </x:c>
      <x:c r="D552" s="12" t="str">
        <x:v>Animal Trainers</x:v>
      </x:c>
      <x:c r="E552" s="2" t="str">
        <x:v>Include</x:v>
      </x:c>
      <x:c r="F552" s="2" t="str">
        <x:v>Yes</x:v>
      </x:c>
      <x:c r="G552" s="15" t="str">
        <x:v>6/6</x:v>
      </x:c>
      <x:c r="H552" s="18" t="n">
        <x:v>4</x:v>
      </x:c>
      <x:c r="I552" s="18" t="n">
        <x:v>3.5</x:v>
      </x:c>
      <x:c r="J552" s="18" t="n">
        <x:v>3</x:v>
      </x:c>
      <x:c r="K552" s="18" t="n">
        <x:v>4.33</x:v>
      </x:c>
      <x:c r="L552" s="18" t="n">
        <x:v>3</x:v>
      </x:c>
      <x:c r="M552" s="18" t="n">
        <x:v>5.33</x:v>
      </x:c>
      <x:c r="N552" s="12" t="str">
        <x:v>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x:v>
      </x:c>
      <x:c r="O552" s="12" t="str">
        <x:v>https://www.onetonline.org/link/summary/39-2011.00</x:v>
      </x:c>
      <x:c r="P552" s="12" t="str">
        <x:v>SOC37 building/grounds maintenance plus SOC39 personal care; exclude healthcare support.</x:v>
      </x:c>
    </x:row>
    <x:row r="553" ht="50.25" customHeight="1">
      <x:c r="A553" s="15" t="str">
        <x:v>782230</x:v>
      </x:c>
      <x:c r="B553" s="12" t="str">
        <x:v>Other service occupations, except health (e.g., personal care service occupations, building and grounds cleaning and maintenance occupations, etc.)</x:v>
      </x:c>
      <x:c r="C553" s="35" t="str">
        <x:v>39-2021.00</x:v>
      </x:c>
      <x:c r="D553" s="12" t="str">
        <x:v>Animal Caretakers</x:v>
      </x:c>
      <x:c r="E553" s="2" t="str">
        <x:v>Include</x:v>
      </x:c>
      <x:c r="F553" s="2" t="str">
        <x:v>Yes</x:v>
      </x:c>
      <x:c r="G553" s="15" t="str">
        <x:v>6/6</x:v>
      </x:c>
      <x:c r="H553" s="18" t="n">
        <x:v>2.67</x:v>
      </x:c>
      <x:c r="I553" s="18" t="n">
        <x:v>2.5</x:v>
      </x:c>
      <x:c r="J553" s="18" t="n">
        <x:v>2.33</x:v>
      </x:c>
      <x:c r="K553" s="18" t="n">
        <x:v>4.67</x:v>
      </x:c>
      <x:c r="L553" s="18" t="n">
        <x:v>3.33</x:v>
      </x:c>
      <x:c r="M553" s="18" t="n">
        <x:v>3.33</x:v>
      </x:c>
      <x:c r="N553" s="12" t="str">
        <x:v>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x:v>
      </x:c>
      <x:c r="O553" s="12" t="str">
        <x:v>https://www.onetonline.org/link/summary/39-2021.00</x:v>
      </x:c>
      <x:c r="P553" s="12" t="str">
        <x:v>SOC37 building/grounds maintenance plus SOC39 personal care; exclude healthcare support.</x:v>
      </x:c>
    </x:row>
    <x:row r="554" ht="50.25" customHeight="1">
      <x:c r="A554" s="15" t="str">
        <x:v>782230</x:v>
      </x:c>
      <x:c r="B554" s="12" t="str">
        <x:v>Other service occupations, except health (e.g., personal care service occupations, building and grounds cleaning and maintenance occupations, etc.)</x:v>
      </x:c>
      <x:c r="C554" s="35" t="str">
        <x:v>39-3011.00</x:v>
      </x:c>
      <x:c r="D554" s="12" t="str">
        <x:v>Gambling Dealers</x:v>
      </x:c>
      <x:c r="E554" s="2" t="str">
        <x:v>Include</x:v>
      </x:c>
      <x:c r="F554" s="2" t="str">
        <x:v>Yes</x:v>
      </x:c>
      <x:c r="G554" s="15" t="str">
        <x:v>6/6</x:v>
      </x:c>
      <x:c r="H554" s="18" t="n">
        <x:v>2.33</x:v>
      </x:c>
      <x:c r="I554" s="18" t="n">
        <x:v>3.17</x:v>
      </x:c>
      <x:c r="J554" s="18" t="n">
        <x:v>2.33</x:v>
      </x:c>
      <x:c r="K554" s="18" t="n">
        <x:v>4.67</x:v>
      </x:c>
      <x:c r="L554" s="18" t="n">
        <x:v>5</x:v>
      </x:c>
      <x:c r="M554" s="18" t="n">
        <x:v>3.67</x:v>
      </x:c>
      <x:c r="N554" s="12" t="str">
        <x:v>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x:v>
      </x:c>
      <x:c r="O554" s="12" t="str">
        <x:v>https://www.onetonline.org/link/summary/39-3011.00</x:v>
      </x:c>
      <x:c r="P554" s="12" t="str">
        <x:v>SOC37 building/grounds maintenance plus SOC39 personal care; exclude healthcare support.</x:v>
      </x:c>
    </x:row>
    <x:row r="555" ht="50.25" customHeight="1">
      <x:c r="A555" s="15" t="str">
        <x:v>782230</x:v>
      </x:c>
      <x:c r="B555" s="12" t="str">
        <x:v>Other service occupations, except health (e.g., personal care service occupations, building and grounds cleaning and maintenance occupations, etc.)</x:v>
      </x:c>
      <x:c r="C555" s="35" t="str">
        <x:v>39-3012.00</x:v>
      </x:c>
      <x:c r="D555" s="12" t="str">
        <x:v>Gambling and Sports Book Writers and Runners</x:v>
      </x:c>
      <x:c r="E555" s="2" t="str">
        <x:v>Include</x:v>
      </x:c>
      <x:c r="F555" s="2" t="str">
        <x:v>Yes</x:v>
      </x:c>
      <x:c r="G555" s="15" t="str">
        <x:v>6/6</x:v>
      </x:c>
      <x:c r="H555" s="18" t="n">
        <x:v>2</x:v>
      </x:c>
      <x:c r="I555" s="18" t="n">
        <x:v>2</x:v>
      </x:c>
      <x:c r="J555" s="18" t="n">
        <x:v>2</x:v>
      </x:c>
      <x:c r="K555" s="18" t="n">
        <x:v>5.33</x:v>
      </x:c>
      <x:c r="L555" s="18" t="n">
        <x:v>5.33</x:v>
      </x:c>
      <x:c r="M555" s="18" t="n">
        <x:v>2.33</x:v>
      </x:c>
      <x:c r="N555" s="12" t="str">
        <x:v>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x:v>
      </x:c>
      <x:c r="O555" s="12" t="str">
        <x:v>https://www.onetonline.org/link/summary/39-3012.00</x:v>
      </x:c>
      <x:c r="P555" s="12" t="str">
        <x:v>SOC37 building/grounds maintenance plus SOC39 personal care; exclude healthcare support.</x:v>
      </x:c>
    </x:row>
    <x:row r="556" ht="50.25" customHeight="1">
      <x:c r="A556" s="15" t="str">
        <x:v>782230</x:v>
      </x:c>
      <x:c r="B556" s="12" t="str">
        <x:v>Other service occupations, except health (e.g., personal care service occupations, building and grounds cleaning and maintenance occupations, etc.)</x:v>
      </x:c>
      <x:c r="C556" s="35" t="str">
        <x:v>39-3019.00</x:v>
      </x:c>
      <x:c r="D556" s="12" t="str">
        <x:v>Gambling Service Workers, All Other</x:v>
      </x:c>
      <x:c r="E556" s="2" t="str">
        <x:v>Exclude (no Work Values)</x:v>
      </x:c>
      <x:c r="F556" s="2" t="str">
        <x:v>Yes</x:v>
      </x:c>
      <x:c r="G556" s="15" t="str">
        <x:v>0/6</x:v>
      </x:c>
      <x:c r="H556" s="18"/>
      <x:c r="I556" s="18"/>
      <x:c r="J556" s="18"/>
      <x:c r="K556" s="18"/>
      <x:c r="L556" s="18"/>
      <x:c r="M556" s="18"/>
      <x:c r="N556" s="12" t="str">
        <x:v>All gambling service workers not listed separately.</x:v>
      </x:c>
      <x:c r="O556" s="12" t="str">
        <x:v>https://www.onetonline.org/link/summary/39-3019.00</x:v>
      </x:c>
      <x:c r="P556" s="12" t="str">
        <x:v>SOC37 building/grounds maintenance plus SOC39 personal care; exclude healthcare support.</x:v>
      </x:c>
    </x:row>
    <x:row r="557" ht="50.25" customHeight="1">
      <x:c r="A557" s="15" t="str">
        <x:v>782230</x:v>
      </x:c>
      <x:c r="B557" s="12" t="str">
        <x:v>Other service occupations, except health (e.g., personal care service occupations, building and grounds cleaning and maintenance occupations, etc.)</x:v>
      </x:c>
      <x:c r="C557" s="35" t="str">
        <x:v>39-3021.00</x:v>
      </x:c>
      <x:c r="D557" s="12" t="str">
        <x:v>Motion Picture Projectionists</x:v>
      </x:c>
      <x:c r="E557" s="2" t="str">
        <x:v>Include</x:v>
      </x:c>
      <x:c r="F557" s="2" t="str">
        <x:v>Yes</x:v>
      </x:c>
      <x:c r="G557" s="15" t="str">
        <x:v>6/6</x:v>
      </x:c>
      <x:c r="H557" s="18" t="n">
        <x:v>2.67</x:v>
      </x:c>
      <x:c r="I557" s="18" t="n">
        <x:v>2</x:v>
      </x:c>
      <x:c r="J557" s="18" t="n">
        <x:v>2</x:v>
      </x:c>
      <x:c r="K557" s="18" t="n">
        <x:v>2.33</x:v>
      </x:c>
      <x:c r="L557" s="18" t="n">
        <x:v>4</x:v>
      </x:c>
      <x:c r="M557" s="18" t="n">
        <x:v>2.67</x:v>
      </x:c>
      <x:c r="N557" s="12" t="str">
        <x:v>Set up and operate motion picture projection and related sound reproduction equipment.</x:v>
      </x:c>
      <x:c r="O557" s="12" t="str">
        <x:v>https://www.onetonline.org/link/summary/39-3021.00</x:v>
      </x:c>
      <x:c r="P557" s="12" t="str">
        <x:v>SOC37 building/grounds maintenance plus SOC39 personal care; exclude healthcare support.</x:v>
      </x:c>
    </x:row>
    <x:row r="558" ht="50.25" customHeight="1">
      <x:c r="A558" s="15" t="str">
        <x:v>782230</x:v>
      </x:c>
      <x:c r="B558" s="12" t="str">
        <x:v>Other service occupations, except health (e.g., personal care service occupations, building and grounds cleaning and maintenance occupations, etc.)</x:v>
      </x:c>
      <x:c r="C558" s="35" t="str">
        <x:v>39-3031.00</x:v>
      </x:c>
      <x:c r="D558" s="12" t="str">
        <x:v>Ushers, Lobby Attendants, and Ticket Takers</x:v>
      </x:c>
      <x:c r="E558" s="2" t="str">
        <x:v>Include</x:v>
      </x:c>
      <x:c r="F558" s="2" t="str">
        <x:v>Yes</x:v>
      </x:c>
      <x:c r="G558" s="15" t="str">
        <x:v>6/6</x:v>
      </x:c>
      <x:c r="H558" s="18" t="n">
        <x:v>1.33</x:v>
      </x:c>
      <x:c r="I558" s="18" t="n">
        <x:v>1.83</x:v>
      </x:c>
      <x:c r="J558" s="18" t="n">
        <x:v>1.67</x:v>
      </x:c>
      <x:c r="K558" s="18" t="n">
        <x:v>4.33</x:v>
      </x:c>
      <x:c r="L558" s="18" t="n">
        <x:v>3.33</x:v>
      </x:c>
      <x:c r="M558" s="18" t="n">
        <x:v>2</x:v>
      </x:c>
      <x:c r="N558" s="12" t="str">
        <x:v>Assist patrons at entertainment events by performing duties, such as collecting admission tickets and passes from patrons, assisting in finding seats, searching for lost articles, and helping patrons locate such facilities as restrooms and telephones.</x:v>
      </x:c>
      <x:c r="O558" s="12" t="str">
        <x:v>https://www.onetonline.org/link/summary/39-3031.00</x:v>
      </x:c>
      <x:c r="P558" s="12" t="str">
        <x:v>SOC37 building/grounds maintenance plus SOC39 personal care; exclude healthcare support.</x:v>
      </x:c>
    </x:row>
    <x:row r="559" ht="50.25" customHeight="1">
      <x:c r="A559" s="15" t="str">
        <x:v>782230</x:v>
      </x:c>
      <x:c r="B559" s="12" t="str">
        <x:v>Other service occupations, except health (e.g., personal care service occupations, building and grounds cleaning and maintenance occupations, etc.)</x:v>
      </x:c>
      <x:c r="C559" s="35" t="str">
        <x:v>39-3091.00</x:v>
      </x:c>
      <x:c r="D559" s="12" t="str">
        <x:v>Amusement and Recreation Attendants</x:v>
      </x:c>
      <x:c r="E559" s="2" t="str">
        <x:v>Include</x:v>
      </x:c>
      <x:c r="F559" s="2" t="str">
        <x:v>Yes</x:v>
      </x:c>
      <x:c r="G559" s="15" t="str">
        <x:v>6/6</x:v>
      </x:c>
      <x:c r="H559" s="18" t="n">
        <x:v>2</x:v>
      </x:c>
      <x:c r="I559" s="18" t="n">
        <x:v>2.17</x:v>
      </x:c>
      <x:c r="J559" s="18" t="n">
        <x:v>2</x:v>
      </x:c>
      <x:c r="K559" s="18" t="n">
        <x:v>4</x:v>
      </x:c>
      <x:c r="L559" s="18" t="n">
        <x:v>4.33</x:v>
      </x:c>
      <x:c r="M559" s="18" t="n">
        <x:v>4.33</x:v>
      </x:c>
      <x:c r="N559" s="12" t="str">
        <x:v>Perform a variety of attending duties at amusement or recreation facility. May schedule use of recreation facilities, maintain and provide equipment to participants of sporting events or recreational pursuits, or operate amusement concessions and rides.</x:v>
      </x:c>
      <x:c r="O559" s="12" t="str">
        <x:v>https://www.onetonline.org/link/summary/39-3091.00</x:v>
      </x:c>
      <x:c r="P559" s="12" t="str">
        <x:v>SOC37 building/grounds maintenance plus SOC39 personal care; exclude healthcare support.</x:v>
      </x:c>
    </x:row>
    <x:row r="560" ht="50.25" customHeight="1">
      <x:c r="A560" s="15" t="str">
        <x:v>782230</x:v>
      </x:c>
      <x:c r="B560" s="12" t="str">
        <x:v>Other service occupations, except health (e.g., personal care service occupations, building and grounds cleaning and maintenance occupations, etc.)</x:v>
      </x:c>
      <x:c r="C560" s="35" t="str">
        <x:v>39-3092.00</x:v>
      </x:c>
      <x:c r="D560" s="12" t="str">
        <x:v>Costume Attendants</x:v>
      </x:c>
      <x:c r="E560" s="2" t="str">
        <x:v>Include</x:v>
      </x:c>
      <x:c r="F560" s="2" t="str">
        <x:v>Yes</x:v>
      </x:c>
      <x:c r="G560" s="15" t="str">
        <x:v>6/6</x:v>
      </x:c>
      <x:c r="H560" s="18" t="n">
        <x:v>2</x:v>
      </x:c>
      <x:c r="I560" s="18" t="n">
        <x:v>2.83</x:v>
      </x:c>
      <x:c r="J560" s="18" t="n">
        <x:v>2</x:v>
      </x:c>
      <x:c r="K560" s="18" t="n">
        <x:v>6.67</x:v>
      </x:c>
      <x:c r="L560" s="18" t="n">
        <x:v>3</x:v>
      </x:c>
      <x:c r="M560" s="18" t="n">
        <x:v>2.33</x:v>
      </x:c>
      <x:c r="N560" s="12" t="str">
        <x:v>Select, fit, and take care of costumes for cast members, and aid entertainers. May assist with multiple costume changes during performances.</x:v>
      </x:c>
      <x:c r="O560" s="12" t="str">
        <x:v>https://www.onetonline.org/link/summary/39-3092.00</x:v>
      </x:c>
      <x:c r="P560" s="12" t="str">
        <x:v>SOC37 building/grounds maintenance plus SOC39 personal care; exclude healthcare support.</x:v>
      </x:c>
    </x:row>
    <x:row r="561" ht="50.25" customHeight="1">
      <x:c r="A561" s="15" t="str">
        <x:v>782230</x:v>
      </x:c>
      <x:c r="B561" s="12" t="str">
        <x:v>Other service occupations, except health (e.g., personal care service occupations, building and grounds cleaning and maintenance occupations, etc.)</x:v>
      </x:c>
      <x:c r="C561" s="35" t="str">
        <x:v>39-3093.00</x:v>
      </x:c>
      <x:c r="D561" s="12" t="str">
        <x:v>Locker Room, Coatroom, and Dressing Room Attendants</x:v>
      </x:c>
      <x:c r="E561" s="2" t="str">
        <x:v>Include</x:v>
      </x:c>
      <x:c r="F561" s="2" t="str">
        <x:v>Yes</x:v>
      </x:c>
      <x:c r="G561" s="15" t="str">
        <x:v>6/6</x:v>
      </x:c>
      <x:c r="H561" s="18" t="n">
        <x:v>1.33</x:v>
      </x:c>
      <x:c r="I561" s="18" t="n">
        <x:v>2.67</x:v>
      </x:c>
      <x:c r="J561" s="18" t="n">
        <x:v>1.33</x:v>
      </x:c>
      <x:c r="K561" s="18" t="n">
        <x:v>3.67</x:v>
      </x:c>
      <x:c r="L561" s="18" t="n">
        <x:v>3</x:v>
      </x:c>
      <x:c r="M561" s="18" t="n">
        <x:v>3</x:v>
      </x:c>
      <x:c r="N561" s="12" t="str">
        <x:v>Provide personal items to patrons or customers in locker rooms, dressing rooms, or coatrooms.</x:v>
      </x:c>
      <x:c r="O561" s="12" t="str">
        <x:v>https://www.onetonline.org/link/summary/39-3093.00</x:v>
      </x:c>
      <x:c r="P561" s="12" t="str">
        <x:v>SOC37 building/grounds maintenance plus SOC39 personal care; exclude healthcare support.</x:v>
      </x:c>
    </x:row>
    <x:row r="562" ht="50.25" customHeight="1">
      <x:c r="A562" s="15" t="str">
        <x:v>782230</x:v>
      </x:c>
      <x:c r="B562" s="12" t="str">
        <x:v>Other service occupations, except health (e.g., personal care service occupations, building and grounds cleaning and maintenance occupations, etc.)</x:v>
      </x:c>
      <x:c r="C562" s="35" t="str">
        <x:v>39-3099.00</x:v>
      </x:c>
      <x:c r="D562" s="12" t="str">
        <x:v>Entertainment Attendants and Related Workers, All Other</x:v>
      </x:c>
      <x:c r="E562" s="2" t="str">
        <x:v>Exclude (no Work Values)</x:v>
      </x:c>
      <x:c r="F562" s="2" t="str">
        <x:v>Yes</x:v>
      </x:c>
      <x:c r="G562" s="15" t="str">
        <x:v>0/6</x:v>
      </x:c>
      <x:c r="H562" s="18"/>
      <x:c r="I562" s="18"/>
      <x:c r="J562" s="18"/>
      <x:c r="K562" s="18"/>
      <x:c r="L562" s="18"/>
      <x:c r="M562" s="18"/>
      <x:c r="N562" s="12" t="str">
        <x:v>All entertainment attendants and related workers not listed separately.</x:v>
      </x:c>
      <x:c r="O562" s="12" t="str">
        <x:v>https://www.onetonline.org/link/summary/39-3099.00</x:v>
      </x:c>
      <x:c r="P562" s="12" t="str">
        <x:v>SOC37 building/grounds maintenance plus SOC39 personal care; exclude healthcare support.</x:v>
      </x:c>
    </x:row>
    <x:row r="563" ht="50.25" customHeight="1">
      <x:c r="A563" s="15" t="str">
        <x:v>782230</x:v>
      </x:c>
      <x:c r="B563" s="12" t="str">
        <x:v>Other service occupations, except health (e.g., personal care service occupations, building and grounds cleaning and maintenance occupations, etc.)</x:v>
      </x:c>
      <x:c r="C563" s="35" t="str">
        <x:v>39-4011.00</x:v>
      </x:c>
      <x:c r="D563" s="12" t="str">
        <x:v>Embalmers</x:v>
      </x:c>
      <x:c r="E563" s="2" t="str">
        <x:v>Include</x:v>
      </x:c>
      <x:c r="F563" s="2" t="str">
        <x:v>Yes</x:v>
      </x:c>
      <x:c r="G563" s="15" t="str">
        <x:v>6/6</x:v>
      </x:c>
      <x:c r="H563" s="18" t="n">
        <x:v>3.67</x:v>
      </x:c>
      <x:c r="I563" s="18" t="n">
        <x:v>4.33</x:v>
      </x:c>
      <x:c r="J563" s="18" t="n">
        <x:v>2.67</x:v>
      </x:c>
      <x:c r="K563" s="18" t="n">
        <x:v>5</x:v>
      </x:c>
      <x:c r="L563" s="18" t="n">
        <x:v>5.33</x:v>
      </x:c>
      <x:c r="M563" s="18" t="n">
        <x:v>5.33</x:v>
      </x:c>
      <x:c r="N563" s="12" t="str">
        <x:v>Prepare bodies for interment in conformity with legal requirements.</x:v>
      </x:c>
      <x:c r="O563" s="12" t="str">
        <x:v>https://www.onetonline.org/link/summary/39-4011.00</x:v>
      </x:c>
      <x:c r="P563" s="12" t="str">
        <x:v>SOC37 building/grounds maintenance plus SOC39 personal care; exclude healthcare support.</x:v>
      </x:c>
    </x:row>
    <x:row r="564" ht="50.25" customHeight="1">
      <x:c r="A564" s="15" t="str">
        <x:v>782230</x:v>
      </x:c>
      <x:c r="B564" s="12" t="str">
        <x:v>Other service occupations, except health (e.g., personal care service occupations, building and grounds cleaning and maintenance occupations, etc.)</x:v>
      </x:c>
      <x:c r="C564" s="35" t="str">
        <x:v>39-4012.00</x:v>
      </x:c>
      <x:c r="D564" s="12" t="str">
        <x:v>Crematory Operators</x:v>
      </x:c>
      <x:c r="E564" s="2" t="str">
        <x:v>Exclude (no Work Values)</x:v>
      </x:c>
      <x:c r="F564" s="2" t="str">
        <x:v>Yes</x:v>
      </x:c>
      <x:c r="G564" s="15" t="str">
        <x:v>0/6</x:v>
      </x:c>
      <x:c r="H564" s="18"/>
      <x:c r="I564" s="18"/>
      <x:c r="J564" s="18"/>
      <x:c r="K564" s="18"/>
      <x:c r="L564" s="18"/>
      <x:c r="M564" s="18"/>
      <x:c r="N564" s="12" t="str">
        <x:v>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x:v>
      </x:c>
      <x:c r="O564" s="12" t="str">
        <x:v>https://www.onetonline.org/link/summary/39-4012.00</x:v>
      </x:c>
      <x:c r="P564" s="12" t="str">
        <x:v>SOC37 building/grounds maintenance plus SOC39 personal care; exclude healthcare support.</x:v>
      </x:c>
    </x:row>
    <x:row r="565" ht="50.25" customHeight="1">
      <x:c r="A565" s="15" t="str">
        <x:v>782230</x:v>
      </x:c>
      <x:c r="B565" s="12" t="str">
        <x:v>Other service occupations, except health (e.g., personal care service occupations, building and grounds cleaning and maintenance occupations, etc.)</x:v>
      </x:c>
      <x:c r="C565" s="35" t="str">
        <x:v>39-4021.00</x:v>
      </x:c>
      <x:c r="D565" s="12" t="str">
        <x:v>Funeral Attendants</x:v>
      </x:c>
      <x:c r="E565" s="2" t="str">
        <x:v>Include</x:v>
      </x:c>
      <x:c r="F565" s="2" t="str">
        <x:v>Yes</x:v>
      </x:c>
      <x:c r="G565" s="15" t="str">
        <x:v>6/6</x:v>
      </x:c>
      <x:c r="H565" s="18" t="n">
        <x:v>2</x:v>
      </x:c>
      <x:c r="I565" s="18" t="n">
        <x:v>2.5</x:v>
      </x:c>
      <x:c r="J565" s="18" t="n">
        <x:v>2.33</x:v>
      </x:c>
      <x:c r="K565" s="18" t="n">
        <x:v>5</x:v>
      </x:c>
      <x:c r="L565" s="18" t="n">
        <x:v>3.33</x:v>
      </x:c>
      <x:c r="M565" s="18" t="n">
        <x:v>3</x:v>
      </x:c>
      <x:c r="N565" s="12" t="str">
        <x:v>Perform a variety of tasks during funeral, such as placing casket in parlor or chapel prior to service, arranging floral offerings or lights around casket, directing or escorting mourners, closing casket, and issuing and storing funeral equipment.</x:v>
      </x:c>
      <x:c r="O565" s="12" t="str">
        <x:v>https://www.onetonline.org/link/summary/39-4021.00</x:v>
      </x:c>
      <x:c r="P565" s="12" t="str">
        <x:v>SOC37 building/grounds maintenance plus SOC39 personal care; exclude healthcare support.</x:v>
      </x:c>
    </x:row>
    <x:row r="566" ht="50.25" customHeight="1">
      <x:c r="A566" s="15" t="str">
        <x:v>782230</x:v>
      </x:c>
      <x:c r="B566" s="12" t="str">
        <x:v>Other service occupations, except health (e.g., personal care service occupations, building and grounds cleaning and maintenance occupations, etc.)</x:v>
      </x:c>
      <x:c r="C566" s="35" t="str">
        <x:v>39-4031.00</x:v>
      </x:c>
      <x:c r="D566" s="12" t="str">
        <x:v>Morticians, Undertakers, and Funeral Arrangers</x:v>
      </x:c>
      <x:c r="E566" s="2" t="str">
        <x:v>Include</x:v>
      </x:c>
      <x:c r="F566" s="2" t="str">
        <x:v>Yes</x:v>
      </x:c>
      <x:c r="G566" s="15" t="str">
        <x:v>6/6</x:v>
      </x:c>
      <x:c r="H566" s="18" t="n">
        <x:v>4.67</x:v>
      </x:c>
      <x:c r="I566" s="18" t="n">
        <x:v>4.33</x:v>
      </x:c>
      <x:c r="J566" s="18" t="n">
        <x:v>4</x:v>
      </x:c>
      <x:c r="K566" s="18" t="n">
        <x:v>6.33</x:v>
      </x:c>
      <x:c r="L566" s="18" t="n">
        <x:v>4</x:v>
      </x:c>
      <x:c r="M566" s="18" t="n">
        <x:v>5.33</x:v>
      </x:c>
      <x:c r="N566" s="12" t="str">
        <x:v>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x:v>
      </x:c>
      <x:c r="O566" s="12" t="str">
        <x:v>https://www.onetonline.org/link/summary/39-4031.00</x:v>
      </x:c>
      <x:c r="P566" s="12" t="str">
        <x:v>SOC37 building/grounds maintenance plus SOC39 personal care; exclude healthcare support.</x:v>
      </x:c>
    </x:row>
    <x:row r="567" ht="50.25" customHeight="1">
      <x:c r="A567" s="15" t="str">
        <x:v>782230</x:v>
      </x:c>
      <x:c r="B567" s="12" t="str">
        <x:v>Other service occupations, except health (e.g., personal care service occupations, building and grounds cleaning and maintenance occupations, etc.)</x:v>
      </x:c>
      <x:c r="C567" s="35" t="str">
        <x:v>39-5011.00</x:v>
      </x:c>
      <x:c r="D567" s="12" t="str">
        <x:v>Barbers</x:v>
      </x:c>
      <x:c r="E567" s="2" t="str">
        <x:v>Include</x:v>
      </x:c>
      <x:c r="F567" s="2" t="str">
        <x:v>Yes</x:v>
      </x:c>
      <x:c r="G567" s="15" t="str">
        <x:v>6/6</x:v>
      </x:c>
      <x:c r="H567" s="18" t="n">
        <x:v>4.67</x:v>
      </x:c>
      <x:c r="I567" s="18" t="n">
        <x:v>3.5</x:v>
      </x:c>
      <x:c r="J567" s="18" t="n">
        <x:v>3</x:v>
      </x:c>
      <x:c r="K567" s="18" t="n">
        <x:v>5</x:v>
      </x:c>
      <x:c r="L567" s="18" t="n">
        <x:v>2.33</x:v>
      </x:c>
      <x:c r="M567" s="18" t="n">
        <x:v>3.33</x:v>
      </x:c>
      <x:c r="N567" s="12" t="str">
        <x:v>Provide barbering services, such as cutting, trimming, shampooing, and styling hair; trimming beards; or giving shaves.</x:v>
      </x:c>
      <x:c r="O567" s="12" t="str">
        <x:v>https://www.onetonline.org/link/summary/39-5011.00</x:v>
      </x:c>
      <x:c r="P567" s="12" t="str">
        <x:v>SOC37 building/grounds maintenance plus SOC39 personal care; exclude healthcare support.</x:v>
      </x:c>
    </x:row>
    <x:row r="568" ht="50.25" customHeight="1">
      <x:c r="A568" s="15" t="str">
        <x:v>782230</x:v>
      </x:c>
      <x:c r="B568" s="12" t="str">
        <x:v>Other service occupations, except health (e.g., personal care service occupations, building and grounds cleaning and maintenance occupations, etc.)</x:v>
      </x:c>
      <x:c r="C568" s="35" t="str">
        <x:v>39-5012.00</x:v>
      </x:c>
      <x:c r="D568" s="12" t="str">
        <x:v>Hairdressers, Hairstylists, and Cosmetologists</x:v>
      </x:c>
      <x:c r="E568" s="2" t="str">
        <x:v>Include</x:v>
      </x:c>
      <x:c r="F568" s="2" t="str">
        <x:v>Yes</x:v>
      </x:c>
      <x:c r="G568" s="15" t="str">
        <x:v>6/6</x:v>
      </x:c>
      <x:c r="H568" s="18" t="n">
        <x:v>4</x:v>
      </x:c>
      <x:c r="I568" s="18" t="n">
        <x:v>3.17</x:v>
      </x:c>
      <x:c r="J568" s="18" t="n">
        <x:v>2.67</x:v>
      </x:c>
      <x:c r="K568" s="18" t="n">
        <x:v>6.33</x:v>
      </x:c>
      <x:c r="L568" s="18" t="n">
        <x:v>2</x:v>
      </x:c>
      <x:c r="M568" s="18" t="n">
        <x:v>5</x:v>
      </x:c>
      <x:c r="N568" s="12" t="str">
        <x:v>Provide beauty services, such as cutting, coloring, and styling hair, and massaging and treating scalp. May shampoo hair, apply makeup, dress wigs, remove hair, and provide nail and skincare services.</x:v>
      </x:c>
      <x:c r="O568" s="12" t="str">
        <x:v>https://www.onetonline.org/link/summary/39-5012.00</x:v>
      </x:c>
      <x:c r="P568" s="12" t="str">
        <x:v>SOC37 building/grounds maintenance plus SOC39 personal care; exclude healthcare support.</x:v>
      </x:c>
    </x:row>
    <x:row r="569" ht="50.25" customHeight="1">
      <x:c r="A569" s="15" t="str">
        <x:v>782230</x:v>
      </x:c>
      <x:c r="B569" s="12" t="str">
        <x:v>Other service occupations, except health (e.g., personal care service occupations, building and grounds cleaning and maintenance occupations, etc.)</x:v>
      </x:c>
      <x:c r="C569" s="35" t="str">
        <x:v>39-5091.00</x:v>
      </x:c>
      <x:c r="D569" s="12" t="str">
        <x:v>Makeup Artists, Theatrical and Performance</x:v>
      </x:c>
      <x:c r="E569" s="2" t="str">
        <x:v>Include</x:v>
      </x:c>
      <x:c r="F569" s="2" t="str">
        <x:v>Yes</x:v>
      </x:c>
      <x:c r="G569" s="15" t="str">
        <x:v>6/6</x:v>
      </x:c>
      <x:c r="H569" s="18" t="n">
        <x:v>4</x:v>
      </x:c>
      <x:c r="I569" s="18" t="n">
        <x:v>4.17</x:v>
      </x:c>
      <x:c r="J569" s="18" t="n">
        <x:v>3.67</x:v>
      </x:c>
      <x:c r="K569" s="18" t="n">
        <x:v>4.67</x:v>
      </x:c>
      <x:c r="L569" s="18" t="n">
        <x:v>2</x:v>
      </x:c>
      <x:c r="M569" s="18" t="n">
        <x:v>3.67</x:v>
      </x:c>
      <x:c r="N569" s="12" t="str">
        <x:v>Apply makeup to performers to reflect period, setting, and situation of their role.</x:v>
      </x:c>
      <x:c r="O569" s="12" t="str">
        <x:v>https://www.onetonline.org/link/summary/39-5091.00</x:v>
      </x:c>
      <x:c r="P569" s="12" t="str">
        <x:v>SOC37 building/grounds maintenance plus SOC39 personal care; exclude healthcare support.</x:v>
      </x:c>
    </x:row>
    <x:row r="570" ht="50.25" customHeight="1">
      <x:c r="A570" s="15" t="str">
        <x:v>782230</x:v>
      </x:c>
      <x:c r="B570" s="12" t="str">
        <x:v>Other service occupations, except health (e.g., personal care service occupations, building and grounds cleaning and maintenance occupations, etc.)</x:v>
      </x:c>
      <x:c r="C570" s="35" t="str">
        <x:v>39-5092.00</x:v>
      </x:c>
      <x:c r="D570" s="12" t="str">
        <x:v>Manicurists and Pedicurists</x:v>
      </x:c>
      <x:c r="E570" s="2" t="str">
        <x:v>Include</x:v>
      </x:c>
      <x:c r="F570" s="2" t="str">
        <x:v>Yes</x:v>
      </x:c>
      <x:c r="G570" s="15" t="str">
        <x:v>6/6</x:v>
      </x:c>
      <x:c r="H570" s="18" t="n">
        <x:v>2</x:v>
      </x:c>
      <x:c r="I570" s="18" t="n">
        <x:v>2</x:v>
      </x:c>
      <x:c r="J570" s="18" t="n">
        <x:v>2.33</x:v>
      </x:c>
      <x:c r="K570" s="18" t="n">
        <x:v>6</x:v>
      </x:c>
      <x:c r="L570" s="18" t="n">
        <x:v>3</x:v>
      </x:c>
      <x:c r="M570" s="18" t="n">
        <x:v>2.67</x:v>
      </x:c>
      <x:c r="N570" s="12" t="str">
        <x:v>Clean and shape customers' fingernails and toenails. May polish or decorate nails.</x:v>
      </x:c>
      <x:c r="O570" s="12" t="str">
        <x:v>https://www.onetonline.org/link/summary/39-5092.00</x:v>
      </x:c>
      <x:c r="P570" s="12" t="str">
        <x:v>SOC37 building/grounds maintenance plus SOC39 personal care; exclude healthcare support.</x:v>
      </x:c>
    </x:row>
    <x:row r="571" ht="50.25" customHeight="1">
      <x:c r="A571" s="15" t="str">
        <x:v>782230</x:v>
      </x:c>
      <x:c r="B571" s="12" t="str">
        <x:v>Other service occupations, except health (e.g., personal care service occupations, building and grounds cleaning and maintenance occupations, etc.)</x:v>
      </x:c>
      <x:c r="C571" s="35" t="str">
        <x:v>39-5093.00</x:v>
      </x:c>
      <x:c r="D571" s="12" t="str">
        <x:v>Shampooers</x:v>
      </x:c>
      <x:c r="E571" s="2" t="str">
        <x:v>Include</x:v>
      </x:c>
      <x:c r="F571" s="2" t="str">
        <x:v>Yes</x:v>
      </x:c>
      <x:c r="G571" s="15" t="str">
        <x:v>6/6</x:v>
      </x:c>
      <x:c r="H571" s="18" t="n">
        <x:v>1.67</x:v>
      </x:c>
      <x:c r="I571" s="18" t="n">
        <x:v>1.67</x:v>
      </x:c>
      <x:c r="J571" s="18" t="n">
        <x:v>1.67</x:v>
      </x:c>
      <x:c r="K571" s="18" t="n">
        <x:v>4.67</x:v>
      </x:c>
      <x:c r="L571" s="18" t="n">
        <x:v>3.33</x:v>
      </x:c>
      <x:c r="M571" s="18" t="n">
        <x:v>1.67</x:v>
      </x:c>
      <x:c r="N571" s="12" t="str">
        <x:v>Shampoo and rinse customers' hair.</x:v>
      </x:c>
      <x:c r="O571" s="12" t="str">
        <x:v>https://www.onetonline.org/link/summary/39-5093.00</x:v>
      </x:c>
      <x:c r="P571" s="12" t="str">
        <x:v>SOC37 building/grounds maintenance plus SOC39 personal care; exclude healthcare support.</x:v>
      </x:c>
    </x:row>
    <x:row r="572" ht="50.25" customHeight="1">
      <x:c r="A572" s="15" t="str">
        <x:v>782230</x:v>
      </x:c>
      <x:c r="B572" s="12" t="str">
        <x:v>Other service occupations, except health (e.g., personal care service occupations, building and grounds cleaning and maintenance occupations, etc.)</x:v>
      </x:c>
      <x:c r="C572" s="35" t="str">
        <x:v>39-5094.00</x:v>
      </x:c>
      <x:c r="D572" s="12" t="str">
        <x:v>Skincare Specialists</x:v>
      </x:c>
      <x:c r="E572" s="2" t="str">
        <x:v>Include</x:v>
      </x:c>
      <x:c r="F572" s="2" t="str">
        <x:v>Yes</x:v>
      </x:c>
      <x:c r="G572" s="15" t="str">
        <x:v>6/6</x:v>
      </x:c>
      <x:c r="H572" s="18" t="n">
        <x:v>4.67</x:v>
      </x:c>
      <x:c r="I572" s="18" t="n">
        <x:v>3.5</x:v>
      </x:c>
      <x:c r="J572" s="18" t="n">
        <x:v>3.33</x:v>
      </x:c>
      <x:c r="K572" s="18" t="n">
        <x:v>5</x:v>
      </x:c>
      <x:c r="L572" s="18" t="n">
        <x:v>3.33</x:v>
      </x:c>
      <x:c r="M572" s="18" t="n">
        <x:v>5</x:v>
      </x:c>
      <x:c r="N572" s="12" t="str">
        <x:v>Provide skincare treatments to face and body to enhance an individual's appearance. Includes electrologists and laser hair removal specialists.</x:v>
      </x:c>
      <x:c r="O572" s="12" t="str">
        <x:v>https://www.onetonline.org/link/summary/39-5094.00</x:v>
      </x:c>
      <x:c r="P572" s="12" t="str">
        <x:v>SOC37 building/grounds maintenance plus SOC39 personal care; exclude healthcare support.</x:v>
      </x:c>
    </x:row>
    <x:row r="573" ht="50.25" customHeight="1">
      <x:c r="A573" s="15" t="str">
        <x:v>782230</x:v>
      </x:c>
      <x:c r="B573" s="12" t="str">
        <x:v>Other service occupations, except health (e.g., personal care service occupations, building and grounds cleaning and maintenance occupations, etc.)</x:v>
      </x:c>
      <x:c r="C573" s="35" t="str">
        <x:v>39-6011.00</x:v>
      </x:c>
      <x:c r="D573" s="12" t="str">
        <x:v>Baggage Porters and Bellhops</x:v>
      </x:c>
      <x:c r="E573" s="2" t="str">
        <x:v>Include</x:v>
      </x:c>
      <x:c r="F573" s="2" t="str">
        <x:v>Yes</x:v>
      </x:c>
      <x:c r="G573" s="15" t="str">
        <x:v>6/6</x:v>
      </x:c>
      <x:c r="H573" s="18" t="n">
        <x:v>1.67</x:v>
      </x:c>
      <x:c r="I573" s="18" t="n">
        <x:v>3</x:v>
      </x:c>
      <x:c r="J573" s="18" t="n">
        <x:v>1.67</x:v>
      </x:c>
      <x:c r="K573" s="18" t="n">
        <x:v>6</x:v>
      </x:c>
      <x:c r="L573" s="18" t="n">
        <x:v>4.33</x:v>
      </x:c>
      <x:c r="M573" s="18" t="n">
        <x:v>3.33</x:v>
      </x:c>
      <x:c r="N573" s="12" t="str">
        <x:v>Handle baggage for travelers at transportation terminals or for guests at hotels or similar establishments.</x:v>
      </x:c>
      <x:c r="O573" s="12" t="str">
        <x:v>https://www.onetonline.org/link/summary/39-6011.00</x:v>
      </x:c>
      <x:c r="P573" s="12" t="str">
        <x:v>SOC37 building/grounds maintenance plus SOC39 personal care; exclude healthcare support.</x:v>
      </x:c>
    </x:row>
    <x:row r="574" ht="50.25" customHeight="1">
      <x:c r="A574" s="15" t="str">
        <x:v>782230</x:v>
      </x:c>
      <x:c r="B574" s="12" t="str">
        <x:v>Other service occupations, except health (e.g., personal care service occupations, building and grounds cleaning and maintenance occupations, etc.)</x:v>
      </x:c>
      <x:c r="C574" s="35" t="str">
        <x:v>39-6012.00</x:v>
      </x:c>
      <x:c r="D574" s="12" t="str">
        <x:v>Concierges</x:v>
      </x:c>
      <x:c r="E574" s="2" t="str">
        <x:v>Include</x:v>
      </x:c>
      <x:c r="F574" s="2" t="str">
        <x:v>Yes</x:v>
      </x:c>
      <x:c r="G574" s="15" t="str">
        <x:v>6/6</x:v>
      </x:c>
      <x:c r="H574" s="18" t="n">
        <x:v>3.67</x:v>
      </x:c>
      <x:c r="I574" s="18" t="n">
        <x:v>3.33</x:v>
      </x:c>
      <x:c r="J574" s="18" t="n">
        <x:v>2.67</x:v>
      </x:c>
      <x:c r="K574" s="18" t="n">
        <x:v>6</x:v>
      </x:c>
      <x:c r="L574" s="18" t="n">
        <x:v>3.67</x:v>
      </x:c>
      <x:c r="M574" s="18" t="n">
        <x:v>4.33</x:v>
      </x:c>
      <x:c r="N574" s="12" t="str">
        <x:v>Assist patrons at hotel, apartment, or office building with personal services. May take messages; arrange or give advice on transportation, business services, or entertainment; or monitor guest requests for housekeeping and maintenance.</x:v>
      </x:c>
      <x:c r="O574" s="12" t="str">
        <x:v>https://www.onetonline.org/link/summary/39-6012.00</x:v>
      </x:c>
      <x:c r="P574" s="12" t="str">
        <x:v>SOC37 building/grounds maintenance plus SOC39 personal care; exclude healthcare support.</x:v>
      </x:c>
    </x:row>
    <x:row r="575" ht="50.25" customHeight="1">
      <x:c r="A575" s="15" t="str">
        <x:v>782230</x:v>
      </x:c>
      <x:c r="B575" s="12" t="str">
        <x:v>Other service occupations, except health (e.g., personal care service occupations, building and grounds cleaning and maintenance occupations, etc.)</x:v>
      </x:c>
      <x:c r="C575" s="35" t="str">
        <x:v>39-7011.00</x:v>
      </x:c>
      <x:c r="D575" s="12" t="str">
        <x:v>Tour Guides and Escorts</x:v>
      </x:c>
      <x:c r="E575" s="2" t="str">
        <x:v>Include</x:v>
      </x:c>
      <x:c r="F575" s="2" t="str">
        <x:v>Yes</x:v>
      </x:c>
      <x:c r="G575" s="15" t="str">
        <x:v>6/6</x:v>
      </x:c>
      <x:c r="H575" s="18" t="n">
        <x:v>2</x:v>
      </x:c>
      <x:c r="I575" s="18" t="n">
        <x:v>2.5</x:v>
      </x:c>
      <x:c r="J575" s="18" t="n">
        <x:v>2.33</x:v>
      </x:c>
      <x:c r="K575" s="18" t="n">
        <x:v>5.67</x:v>
      </x:c>
      <x:c r="L575" s="18" t="n">
        <x:v>3</x:v>
      </x:c>
      <x:c r="M575" s="18" t="n">
        <x:v>2.67</x:v>
      </x:c>
      <x:c r="N575" s="12" t="str">
        <x:v>Escort individuals or groups on sightseeing tours or through places of interest, such as industrial establishments, public buildings, and art galleries.</x:v>
      </x:c>
      <x:c r="O575" s="12" t="str">
        <x:v>https://www.onetonline.org/link/summary/39-7011.00</x:v>
      </x:c>
      <x:c r="P575" s="12" t="str">
        <x:v>SOC37 building/grounds maintenance plus SOC39 personal care; exclude healthcare support.</x:v>
      </x:c>
    </x:row>
    <x:row r="576" ht="50.25" customHeight="1">
      <x:c r="A576" s="15" t="str">
        <x:v>782230</x:v>
      </x:c>
      <x:c r="B576" s="12" t="str">
        <x:v>Other service occupations, except health (e.g., personal care service occupations, building and grounds cleaning and maintenance occupations, etc.)</x:v>
      </x:c>
      <x:c r="C576" s="35" t="str">
        <x:v>39-7012.00</x:v>
      </x:c>
      <x:c r="D576" s="12" t="str">
        <x:v>Travel Guides</x:v>
      </x:c>
      <x:c r="E576" s="2" t="str">
        <x:v>Include</x:v>
      </x:c>
      <x:c r="F576" s="2" t="str">
        <x:v>Yes</x:v>
      </x:c>
      <x:c r="G576" s="15" t="str">
        <x:v>6/6</x:v>
      </x:c>
      <x:c r="H576" s="18" t="n">
        <x:v>4.33</x:v>
      </x:c>
      <x:c r="I576" s="18" t="n">
        <x:v>3.17</x:v>
      </x:c>
      <x:c r="J576" s="18" t="n">
        <x:v>2.67</x:v>
      </x:c>
      <x:c r="K576" s="18" t="n">
        <x:v>5</x:v>
      </x:c>
      <x:c r="L576" s="18" t="n">
        <x:v>3</x:v>
      </x:c>
      <x:c r="M576" s="18" t="n">
        <x:v>5</x:v>
      </x:c>
      <x:c r="N576" s="12" t="str">
        <x:v>Plan, organize, and conduct long-distance travel, tours, and expeditions for individuals and groups.</x:v>
      </x:c>
      <x:c r="O576" s="12" t="str">
        <x:v>https://www.onetonline.org/link/summary/39-7012.00</x:v>
      </x:c>
      <x:c r="P576" s="12" t="str">
        <x:v>SOC37 building/grounds maintenance plus SOC39 personal care; exclude healthcare support.</x:v>
      </x:c>
    </x:row>
    <x:row r="577" ht="50.25" customHeight="1">
      <x:c r="A577" s="15" t="str">
        <x:v>782230</x:v>
      </x:c>
      <x:c r="B577" s="12" t="str">
        <x:v>Other service occupations, except health (e.g., personal care service occupations, building and grounds cleaning and maintenance occupations, etc.)</x:v>
      </x:c>
      <x:c r="C577" s="35" t="str">
        <x:v>39-9011.00</x:v>
      </x:c>
      <x:c r="D577" s="12" t="str">
        <x:v>Childcare Workers</x:v>
      </x:c>
      <x:c r="E577" s="2" t="str">
        <x:v>Include</x:v>
      </x:c>
      <x:c r="F577" s="2" t="str">
        <x:v>Yes</x:v>
      </x:c>
      <x:c r="G577" s="15" t="str">
        <x:v>6/6</x:v>
      </x:c>
      <x:c r="H577" s="18" t="n">
        <x:v>3.33</x:v>
      </x:c>
      <x:c r="I577" s="18" t="n">
        <x:v>2.83</x:v>
      </x:c>
      <x:c r="J577" s="18" t="n">
        <x:v>2.67</x:v>
      </x:c>
      <x:c r="K577" s="18" t="n">
        <x:v>6</x:v>
      </x:c>
      <x:c r="L577" s="18" t="n">
        <x:v>4</x:v>
      </x:c>
      <x:c r="M577" s="18" t="n">
        <x:v>4</x:v>
      </x:c>
      <x:c r="N577" s="12" t="str">
        <x:v>Attend to children at schools, businesses, private households, and childcare institutions. Perform a variety of tasks, such as dressing, feeding, bathing, and overseeing play.</x:v>
      </x:c>
      <x:c r="O577" s="12" t="str">
        <x:v>https://www.onetonline.org/link/summary/39-9011.00</x:v>
      </x:c>
      <x:c r="P577" s="12" t="str">
        <x:v>SOC37 building/grounds maintenance plus SOC39 personal care; exclude healthcare support.</x:v>
      </x:c>
    </x:row>
    <x:row r="578" ht="50.25" customHeight="1">
      <x:c r="A578" s="15" t="str">
        <x:v>782230</x:v>
      </x:c>
      <x:c r="B578" s="12" t="str">
        <x:v>Other service occupations, except health (e.g., personal care service occupations, building and grounds cleaning and maintenance occupations, etc.)</x:v>
      </x:c>
      <x:c r="C578" s="35" t="str">
        <x:v>39-9031.00</x:v>
      </x:c>
      <x:c r="D578" s="12" t="str">
        <x:v>Exercise Trainers and Group Fitness Instructors</x:v>
      </x:c>
      <x:c r="E578" s="2" t="str">
        <x:v>Include</x:v>
      </x:c>
      <x:c r="F578" s="2" t="str">
        <x:v>Yes</x:v>
      </x:c>
      <x:c r="G578" s="15" t="str">
        <x:v>6/6</x:v>
      </x:c>
      <x:c r="H578" s="18" t="n">
        <x:v>4.33</x:v>
      </x:c>
      <x:c r="I578" s="18" t="n">
        <x:v>3.67</x:v>
      </x:c>
      <x:c r="J578" s="18" t="n">
        <x:v>3.33</x:v>
      </x:c>
      <x:c r="K578" s="18" t="n">
        <x:v>6</x:v>
      </x:c>
      <x:c r="L578" s="18" t="n">
        <x:v>3.33</x:v>
      </x:c>
      <x:c r="M578" s="18" t="n">
        <x:v>4.33</x:v>
      </x:c>
      <x:c r="N578" s="12" t="str">
        <x:v>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x:v>
      </x:c>
      <x:c r="O578" s="12" t="str">
        <x:v>https://www.onetonline.org/link/summary/39-9031.00</x:v>
      </x:c>
      <x:c r="P578" s="12" t="str">
        <x:v>SOC37 building/grounds maintenance plus SOC39 personal care; exclude healthcare support.</x:v>
      </x:c>
    </x:row>
    <x:row r="579" ht="50.25" customHeight="1">
      <x:c r="A579" s="15" t="str">
        <x:v>782230</x:v>
      </x:c>
      <x:c r="B579" s="12" t="str">
        <x:v>Other service occupations, except health (e.g., personal care service occupations, building and grounds cleaning and maintenance occupations, etc.)</x:v>
      </x:c>
      <x:c r="C579" s="35" t="str">
        <x:v>39-9032.00</x:v>
      </x:c>
      <x:c r="D579" s="12" t="str">
        <x:v>Recreation Workers</x:v>
      </x:c>
      <x:c r="E579" s="2" t="str">
        <x:v>Include</x:v>
      </x:c>
      <x:c r="F579" s="2" t="str">
        <x:v>Yes</x:v>
      </x:c>
      <x:c r="G579" s="15" t="str">
        <x:v>6/6</x:v>
      </x:c>
      <x:c r="H579" s="18" t="n">
        <x:v>4.67</x:v>
      </x:c>
      <x:c r="I579" s="18" t="n">
        <x:v>3.67</x:v>
      </x:c>
      <x:c r="J579" s="18" t="n">
        <x:v>3</x:v>
      </x:c>
      <x:c r="K579" s="18" t="n">
        <x:v>6</x:v>
      </x:c>
      <x:c r="L579" s="18" t="n">
        <x:v>4.67</x:v>
      </x:c>
      <x:c r="M579" s="18" t="n">
        <x:v>5.67</x:v>
      </x:c>
      <x:c r="N579" s="12" t="str">
        <x:v>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x:v>
      </x:c>
      <x:c r="O579" s="12" t="str">
        <x:v>https://www.onetonline.org/link/summary/39-9032.00</x:v>
      </x:c>
      <x:c r="P579" s="12" t="str">
        <x:v>SOC37 building/grounds maintenance plus SOC39 personal care; exclude healthcare support.</x:v>
      </x:c>
    </x:row>
    <x:row r="580" ht="50.25" customHeight="1">
      <x:c r="A580" s="15" t="str">
        <x:v>782230</x:v>
      </x:c>
      <x:c r="B580" s="12" t="str">
        <x:v>Other service occupations, except health (e.g., personal care service occupations, building and grounds cleaning and maintenance occupations, etc.)</x:v>
      </x:c>
      <x:c r="C580" s="35" t="str">
        <x:v>39-9041.00</x:v>
      </x:c>
      <x:c r="D580" s="12" t="str">
        <x:v>Residential Advisors</x:v>
      </x:c>
      <x:c r="E580" s="2" t="str">
        <x:v>Include</x:v>
      </x:c>
      <x:c r="F580" s="2" t="str">
        <x:v>Yes</x:v>
      </x:c>
      <x:c r="G580" s="15" t="str">
        <x:v>6/6</x:v>
      </x:c>
      <x:c r="H580" s="18" t="n">
        <x:v>4</x:v>
      </x:c>
      <x:c r="I580" s="18" t="n">
        <x:v>3.83</x:v>
      </x:c>
      <x:c r="J580" s="18" t="n">
        <x:v>3</x:v>
      </x:c>
      <x:c r="K580" s="18" t="n">
        <x:v>6.33</x:v>
      </x:c>
      <x:c r="L580" s="18" t="n">
        <x:v>4.67</x:v>
      </x:c>
      <x:c r="M580" s="18" t="n">
        <x:v>4.67</x:v>
      </x:c>
      <x:c r="N580" s="12" t="str">
        <x:v>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x:v>
      </x:c>
      <x:c r="O580" s="12" t="str">
        <x:v>https://www.onetonline.org/link/summary/39-9041.00</x:v>
      </x:c>
      <x:c r="P580" s="12" t="str">
        <x:v>SOC37 building/grounds maintenance plus SOC39 personal care; exclude healthcare support.</x:v>
      </x:c>
    </x:row>
    <x:row r="581" ht="50.25" customHeight="1">
      <x:c r="A581" s="15" t="str">
        <x:v>782230</x:v>
      </x:c>
      <x:c r="B581" s="12" t="str">
        <x:v>Other service occupations, except health (e.g., personal care service occupations, building and grounds cleaning and maintenance occupations, etc.)</x:v>
      </x:c>
      <x:c r="C581" s="35" t="str">
        <x:v>39-9099.00</x:v>
      </x:c>
      <x:c r="D581" s="12" t="str">
        <x:v>Personal Care and Service Workers, All Other</x:v>
      </x:c>
      <x:c r="E581" s="2" t="str">
        <x:v>Exclude (no Work Values)</x:v>
      </x:c>
      <x:c r="F581" s="2" t="str">
        <x:v>Yes</x:v>
      </x:c>
      <x:c r="G581" s="15" t="str">
        <x:v>0/6</x:v>
      </x:c>
      <x:c r="H581" s="18"/>
      <x:c r="I581" s="18"/>
      <x:c r="J581" s="18"/>
      <x:c r="K581" s="18"/>
      <x:c r="L581" s="18"/>
      <x:c r="M581" s="18"/>
      <x:c r="N581" s="12" t="str">
        <x:v>All personal care and service workers not listed separately.</x:v>
      </x:c>
      <x:c r="O581" s="12" t="str">
        <x:v>https://www.onetonline.org/link/summary/39-9099.00</x:v>
      </x:c>
      <x:c r="P581" s="12" t="str">
        <x:v>SOC37 building/grounds maintenance plus SOC39 personal care; exclude healthcare support.</x:v>
      </x:c>
    </x:row>
    <x:row r="582" ht="37.5" customHeight="1">
      <x:c r="A582" s="15" t="str">
        <x:v>783000</x:v>
      </x:c>
      <x:c r="B582" s="12" t="str">
        <x:v>Other teachers and instructors (e.g., private tutors, dance or flying instructors, martial arts instructors)</x:v>
      </x:c>
      <x:c r="C582" s="35" t="str">
        <x:v>25-3021.00</x:v>
      </x:c>
      <x:c r="D582" s="12" t="str">
        <x:v>Self-Enrichment Teachers</x:v>
      </x:c>
      <x:c r="E582" s="2" t="str">
        <x:v>Include</x:v>
      </x:c>
      <x:c r="F582" s="2" t="str">
        <x:v>Yes</x:v>
      </x:c>
      <x:c r="G582" s="15" t="str">
        <x:v>6/6</x:v>
      </x:c>
      <x:c r="H582" s="18" t="n">
        <x:v>4.67</x:v>
      </x:c>
      <x:c r="I582" s="18" t="n">
        <x:v>4</x:v>
      </x:c>
      <x:c r="J582" s="18" t="n">
        <x:v>4.33</x:v>
      </x:c>
      <x:c r="K582" s="18" t="n">
        <x:v>6</x:v>
      </x:c>
      <x:c r="L582" s="18" t="n">
        <x:v>3</x:v>
      </x:c>
      <x:c r="M582" s="18" t="n">
        <x:v>5.67</x:v>
      </x:c>
      <x:c r="N582" s="12" t="str">
        <x:v>Teach or instruct individuals or groups for the primary purpose of self-enrichment or recreation, rather than for an occupational objective, educational attainment, competition, or fitness.</x:v>
      </x:c>
      <x:c r="O582" s="12" t="str">
        <x:v>https://www.onetonline.org/link/summary/25-3021.00</x:v>
      </x:c>
      <x:c r="P582" s="12" t="str">
        <x:v>Recreational instruction, e.g. dance without a qualification, competition or fitness objective.</x:v>
      </x:c>
    </x:row>
    <x:row r="583" ht="37.5" customHeight="1">
      <x:c r="A583" s="15" t="str">
        <x:v>783000</x:v>
      </x:c>
      <x:c r="B583" s="12" t="str">
        <x:v>Other teachers and instructors (e.g., private tutors, dance or flying instructors, martial arts instructors)</x:v>
      </x:c>
      <x:c r="C583" s="35" t="str">
        <x:v>25-3041.00</x:v>
      </x:c>
      <x:c r="D583" s="12" t="str">
        <x:v>Tutors</x:v>
      </x:c>
      <x:c r="E583" s="2" t="str">
        <x:v>Include</x:v>
      </x:c>
      <x:c r="F583" s="2" t="str">
        <x:v>Yes</x:v>
      </x:c>
      <x:c r="G583" s="15" t="str">
        <x:v>6/6</x:v>
      </x:c>
      <x:c r="H583" s="18" t="n">
        <x:v>5.33</x:v>
      </x:c>
      <x:c r="I583" s="18" t="n">
        <x:v>4.17</x:v>
      </x:c>
      <x:c r="J583" s="18" t="n">
        <x:v>3.33</x:v>
      </x:c>
      <x:c r="K583" s="18" t="n">
        <x:v>6</x:v>
      </x:c>
      <x:c r="L583" s="18" t="n">
        <x:v>2.33</x:v>
      </x:c>
      <x:c r="M583" s="18" t="n">
        <x:v>5.67</x:v>
      </x:c>
      <x:c r="N583" s="12" t="str">
        <x:v>Instruct individual students or small groups of students in academic subjects to support formal class instruction or to prepare students for standardized or admissions tests.</x:v>
      </x:c>
      <x:c r="O583" s="12" t="str">
        <x:v>https://www.onetonline.org/link/summary/25-3041.00</x:v>
      </x:c>
      <x:c r="P583" s="12" t="str">
        <x:v>Private academic tutoring matches the NSCG examples.</x:v>
      </x:c>
    </x:row>
    <x:row r="584" ht="37.5" customHeight="1">
      <x:c r="A584" s="15" t="str">
        <x:v>783000</x:v>
      </x:c>
      <x:c r="B584" s="12" t="str">
        <x:v>Other teachers and instructors (e.g., private tutors, dance or flying instructors, martial arts instructors)</x:v>
      </x:c>
      <x:c r="C584" s="35" t="str">
        <x:v>25-3099.00</x:v>
      </x:c>
      <x:c r="D584" s="12" t="str">
        <x:v>Teachers and Instructors, All Other</x:v>
      </x:c>
      <x:c r="E584" s="2" t="str">
        <x:v>Exclude (no Work Values)</x:v>
      </x:c>
      <x:c r="F584" s="2" t="str">
        <x:v>Yes</x:v>
      </x:c>
      <x:c r="G584" s="15" t="str">
        <x:v>0/6</x:v>
      </x:c>
      <x:c r="H584" s="18"/>
      <x:c r="I584" s="18"/>
      <x:c r="J584" s="18"/>
      <x:c r="K584" s="18"/>
      <x:c r="L584" s="18"/>
      <x:c r="M584" s="18"/>
      <x:c r="N584" s="12" t="str">
        <x:v>All teachers and instructors not listed separately.</x:v>
      </x:c>
      <x:c r="O584" s="12" t="str">
        <x:v>https://www.onetonline.org/link/summary/25-3099.00</x:v>
      </x:c>
      <x:c r="P584" s="12" t="str">
        <x:v>Residual teaching occupation; no Work Values.</x:v>
      </x:c>
    </x:row>
    <x:row r="585" ht="37.5" customHeight="1">
      <x:c r="A585" s="15" t="str">
        <x:v>783000</x:v>
      </x:c>
      <x:c r="B585" s="12" t="str">
        <x:v>Other teachers and instructors (e.g., private tutors, dance or flying instructors, martial arts instructors)</x:v>
      </x:c>
      <x:c r="C585" s="35" t="str">
        <x:v>25-9021.00</x:v>
      </x:c>
      <x:c r="D585" s="12" t="str">
        <x:v>Farm and Home Management Educators</x:v>
      </x:c>
      <x:c r="E585" s="2" t="str">
        <x:v>Include</x:v>
      </x:c>
      <x:c r="F585" s="2" t="str">
        <x:v>Yes</x:v>
      </x:c>
      <x:c r="G585" s="15" t="str">
        <x:v>6/6</x:v>
      </x:c>
      <x:c r="H585" s="18" t="n">
        <x:v>5</x:v>
      </x:c>
      <x:c r="I585" s="18" t="n">
        <x:v>4.17</x:v>
      </x:c>
      <x:c r="J585" s="18" t="n">
        <x:v>4.33</x:v>
      </x:c>
      <x:c r="K585" s="18" t="n">
        <x:v>6</x:v>
      </x:c>
      <x:c r="L585" s="18" t="n">
        <x:v>2.67</x:v>
      </x:c>
      <x:c r="M585" s="18" t="n">
        <x:v>5.33</x:v>
      </x:c>
      <x:c r="N585" s="12" t="str">
        <x:v>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x:v>
      </x:c>
      <x:c r="O585" s="12" t="str">
        <x:v>https://www.onetonline.org/link/summary/25-9021.00</x:v>
      </x:c>
      <x:c r="P585" s="12" t="str">
        <x:v>Nondegree farm/home education included in the defined teaching group.</x:v>
      </x:c>
    </x:row>
    <x:row r="586" ht="37.5" customHeight="1">
      <x:c r="A586" s="15" t="str">
        <x:v>783000</x:v>
      </x:c>
      <x:c r="B586" s="12" t="str">
        <x:v>Other teachers and instructors (e.g., private tutors, dance or flying instructors, martial arts instructors)</x:v>
      </x:c>
      <x:c r="C586" s="35" t="str">
        <x:v>25-9049.00</x:v>
      </x:c>
      <x:c r="D586" s="12" t="str">
        <x:v>Teaching Assistants, All Other</x:v>
      </x:c>
      <x:c r="E586" s="2" t="str">
        <x:v>Exclude (outside scope)</x:v>
      </x:c>
      <x:c r="F586" s="2" t="str">
        <x:v>Yes</x:v>
      </x:c>
      <x:c r="G586" s="15" t="str">
        <x:v>0/6</x:v>
      </x:c>
      <x:c r="H586" s="18"/>
      <x:c r="I586" s="18"/>
      <x:c r="J586" s="18"/>
      <x:c r="K586" s="18"/>
      <x:c r="L586" s="18"/>
      <x:c r="M586" s="18"/>
      <x:c r="N586" s="12" t="str">
        <x:v>All teaching assistants not listed separately.</x:v>
      </x:c>
      <x:c r="O586" s="12" t="str">
        <x:v>https://www.onetonline.org/link/summary/25-9049.00</x:v>
      </x:c>
      <x:c r="P586" s="12" t="str">
        <x:v>No Work Values; assignment to NSCG other teachers is also unverified.</x:v>
      </x:c>
    </x:row>
    <x:row r="587" ht="37.5" customHeight="1">
      <x:c r="A587" s="15" t="str">
        <x:v>783000</x:v>
      </x:c>
      <x:c r="B587" s="12" t="str">
        <x:v>Other teachers and instructors (e.g., private tutors, dance or flying instructors, martial arts instructors)</x:v>
      </x:c>
      <x:c r="C587" s="35" t="str">
        <x:v>25-9099.00</x:v>
      </x:c>
      <x:c r="D587" s="12" t="str">
        <x:v>Educational Instruction and Library Workers, All Other</x:v>
      </x:c>
      <x:c r="E587" s="2" t="str">
        <x:v>Exclude (outside scope)</x:v>
      </x:c>
      <x:c r="F587" s="2" t="str">
        <x:v>Yes</x:v>
      </x:c>
      <x:c r="G587" s="15" t="str">
        <x:v>0/6</x:v>
      </x:c>
      <x:c r="H587" s="18"/>
      <x:c r="I587" s="18"/>
      <x:c r="J587" s="18"/>
      <x:c r="K587" s="18"/>
      <x:c r="L587" s="18"/>
      <x:c r="M587" s="18"/>
      <x:c r="N587" s="12" t="str">
        <x:v>All educational instruction and library workers not listed separately.</x:v>
      </x:c>
      <x:c r="O587" s="12" t="str">
        <x:v>https://www.onetonline.org/link/summary/25-9099.00</x:v>
      </x:c>
      <x:c r="P587" s="12" t="str">
        <x:v>No Work Values; the group also includes exam grading and education/library support.</x:v>
      </x:c>
    </x:row>
    <x:row r="588" ht="37.5" customHeight="1">
      <x:c r="A588" s="15" t="str">
        <x:v>783000</x:v>
      </x:c>
      <x:c r="B588" s="12" t="str">
        <x:v>Other teachers and instructors (e.g., private tutors, dance or flying instructors, martial arts instructors)</x:v>
      </x:c>
      <x:c r="C588" s="35" t="str">
        <x:v>27-2022.00</x:v>
      </x:c>
      <x:c r="D588" s="12" t="str">
        <x:v>Coaches and Scouts</x:v>
      </x:c>
      <x:c r="E588" s="2" t="str">
        <x:v>Include</x:v>
      </x:c>
      <x:c r="F588" s="2" t="str">
        <x:v>Yes</x:v>
      </x:c>
      <x:c r="G588" s="15" t="str">
        <x:v>6/6</x:v>
      </x:c>
      <x:c r="H588" s="18" t="n">
        <x:v>6</x:v>
      </x:c>
      <x:c r="I588" s="18" t="n">
        <x:v>4</x:v>
      </x:c>
      <x:c r="J588" s="18" t="n">
        <x:v>4</x:v>
      </x:c>
      <x:c r="K588" s="18" t="n">
        <x:v>6</x:v>
      </x:c>
      <x:c r="L588" s="18" t="n">
        <x:v>3.67</x:v>
      </x:c>
      <x:c r="M588" s="18" t="n">
        <x:v>6</x:v>
      </x:c>
      <x:c r="N588" s="12" t="str">
        <x:v>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x:v>
      </x:c>
      <x:c r="O588" s="12" t="str">
        <x:v>https://www.onetonline.org/link/summary/27-2022.00</x:v>
      </x:c>
      <x:c r="P588" s="12" t="str">
        <x:v>Competitive sports instruction, e.g. competitive martial arts. The profile also includes scouts.</x:v>
      </x:c>
    </x:row>
    <x:row r="589" ht="37.5" customHeight="1">
      <x:c r="A589" s="15" t="str">
        <x:v>783000</x:v>
      </x:c>
      <x:c r="B589" s="12" t="str">
        <x:v>Other teachers and instructors (e.g., private tutors, dance or flying instructors, martial arts instructors)</x:v>
      </x:c>
      <x:c r="C589" s="35" t="str">
        <x:v>39-9031.00</x:v>
      </x:c>
      <x:c r="D589" s="12" t="str">
        <x:v>Exercise Trainers and Group Fitness Instructors</x:v>
      </x:c>
      <x:c r="E589" s="2" t="str">
        <x:v>Include</x:v>
      </x:c>
      <x:c r="F589" s="2" t="str">
        <x:v>Yes</x:v>
      </x:c>
      <x:c r="G589" s="15" t="str">
        <x:v>6/6</x:v>
      </x:c>
      <x:c r="H589" s="18" t="n">
        <x:v>4.33</x:v>
      </x:c>
      <x:c r="I589" s="18" t="n">
        <x:v>3.67</x:v>
      </x:c>
      <x:c r="J589" s="18" t="n">
        <x:v>3.33</x:v>
      </x:c>
      <x:c r="K589" s="18" t="n">
        <x:v>6</x:v>
      </x:c>
      <x:c r="L589" s="18" t="n">
        <x:v>3.33</x:v>
      </x:c>
      <x:c r="M589" s="18" t="n">
        <x:v>4.33</x:v>
      </x:c>
      <x:c r="N589" s="12" t="str">
        <x:v>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x:v>
      </x:c>
      <x:c r="O589" s="12" t="str">
        <x:v>https://www.onetonline.org/link/summary/39-9031.00</x:v>
      </x:c>
      <x:c r="P589" s="12" t="str">
        <x:v>Fitness instruction, including fitness-focused martial arts.</x:v>
      </x:c>
    </x:row>
    <x:row r="590" ht="37.5" customHeight="1">
      <x:c r="A590" s="15" t="str">
        <x:v>783000</x:v>
      </x:c>
      <x:c r="B590" s="12" t="str">
        <x:v>Other teachers and instructors (e.g., private tutors, dance or flying instructors, martial arts instructors)</x:v>
      </x:c>
      <x:c r="C590" s="35" t="str">
        <x:v>53-2011.00</x:v>
      </x:c>
      <x:c r="D590" s="12" t="str">
        <x:v>Airline Pilots, Copilots, and Flight Engineers</x:v>
      </x:c>
      <x:c r="E590" s="2" t="str">
        <x:v>Include</x:v>
      </x:c>
      <x:c r="F590" s="2" t="str">
        <x:v>Yes</x:v>
      </x:c>
      <x:c r="G590" s="15" t="str">
        <x:v>6/6</x:v>
      </x:c>
      <x:c r="H590" s="18" t="n">
        <x:v>5.67</x:v>
      </x:c>
      <x:c r="I590" s="18" t="n">
        <x:v>5.83</x:v>
      </x:c>
      <x:c r="J590" s="18" t="n">
        <x:v>5.67</x:v>
      </x:c>
      <x:c r="K590" s="18" t="n">
        <x:v>5</x:v>
      </x:c>
      <x:c r="L590" s="18" t="n">
        <x:v>6.33</x:v>
      </x:c>
      <x:c r="M590" s="18" t="n">
        <x:v>6.33</x:v>
      </x:c>
      <x:c r="N590" s="12" t="str">
        <x:v>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x:v>
      </x:c>
      <x:c r="O590" s="12" t="str">
        <x:v>https://www.onetonline.org/link/summary/53-2011.00</x:v>
      </x:c>
      <x:c r="P590" s="12" t="str">
        <x:v>SOC includes airline flight instructors; the broader pilot profile is not teaching-specific.</x:v>
      </x:c>
    </x:row>
    <x:row r="591" ht="37.5" customHeight="1">
      <x:c r="A591" s="15" t="str">
        <x:v>783000</x:v>
      </x:c>
      <x:c r="B591" s="12" t="str">
        <x:v>Other teachers and instructors (e.g., private tutors, dance or flying instructors, martial arts instructors)</x:v>
      </x:c>
      <x:c r="C591" s="35" t="str">
        <x:v>53-2012.00</x:v>
      </x:c>
      <x:c r="D591" s="12" t="str">
        <x:v>Commercial Pilots</x:v>
      </x:c>
      <x:c r="E591" s="2" t="str">
        <x:v>Include</x:v>
      </x:c>
      <x:c r="F591" s="2" t="str">
        <x:v>Yes</x:v>
      </x:c>
      <x:c r="G591" s="15" t="str">
        <x:v>6/6</x:v>
      </x:c>
      <x:c r="H591" s="18" t="n">
        <x:v>5.67</x:v>
      </x:c>
      <x:c r="I591" s="18" t="n">
        <x:v>4.67</x:v>
      </x:c>
      <x:c r="J591" s="18" t="n">
        <x:v>6</x:v>
      </x:c>
      <x:c r="K591" s="18" t="n">
        <x:v>4.67</x:v>
      </x:c>
      <x:c r="L591" s="18" t="n">
        <x:v>6.67</x:v>
      </x:c>
      <x:c r="M591" s="18" t="n">
        <x:v>6.33</x:v>
      </x:c>
      <x:c r="N591" s="12" t="str">
        <x:v>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x:v>
      </x:c>
      <x:c r="O591" s="12" t="str">
        <x:v>https://www.onetonline.org/link/summary/53-2012.00</x:v>
      </x:c>
      <x:c r="P591" s="12" t="str">
        <x:v>SOC includes commercial flight instructors; the broader pilot profile is not teaching-specific.</x:v>
      </x:c>
    </x:row>
    <x:row r="592" ht="37.5" customHeight="1">
      <x:c r="A592" s="15" t="str">
        <x:v>784010</x:v>
      </x:c>
      <x:c r="B592" s="12" t="str">
        <x:v>Construction and extraction occupations</x:v>
      </x:c>
      <x:c r="C592" s="35" t="str">
        <x:v>47-1011.00</x:v>
      </x:c>
      <x:c r="D592" s="12" t="str">
        <x:v>First-Line Supervisors of Construction Trades and Extraction Workers</x:v>
      </x:c>
      <x:c r="E592" s="2" t="str">
        <x:v>Include</x:v>
      </x:c>
      <x:c r="F592" s="2" t="str">
        <x:v>Yes</x:v>
      </x:c>
      <x:c r="G592" s="15" t="str">
        <x:v>6/6</x:v>
      </x:c>
      <x:c r="H592" s="18" t="n">
        <x:v>5</x:v>
      </x:c>
      <x:c r="I592" s="18" t="n">
        <x:v>4.83</x:v>
      </x:c>
      <x:c r="J592" s="18" t="n">
        <x:v>4.33</x:v>
      </x:c>
      <x:c r="K592" s="18" t="n">
        <x:v>5.33</x:v>
      </x:c>
      <x:c r="L592" s="18" t="n">
        <x:v>5</x:v>
      </x:c>
      <x:c r="M592" s="18" t="n">
        <x:v>5.67</x:v>
      </x:c>
      <x:c r="N592" s="12" t="str">
        <x:v>Directly supervise and coordinate activities of construction or extraction workers.</x:v>
      </x:c>
      <x:c r="O592" s="12" t="str">
        <x:v>https://www.onetonline.org/link/summary/47-1011.00</x:v>
      </x:c>
      <x:c r="P592" s="12" t="str">
        <x:v>SOC47 construction and extraction occupations.</x:v>
      </x:c>
    </x:row>
    <x:row r="593" ht="37.5" customHeight="1">
      <x:c r="A593" s="15" t="str">
        <x:v>784010</x:v>
      </x:c>
      <x:c r="B593" s="12" t="str">
        <x:v>Construction and extraction occupations</x:v>
      </x:c>
      <x:c r="C593" s="35" t="str">
        <x:v>47-2011.00</x:v>
      </x:c>
      <x:c r="D593" s="12" t="str">
        <x:v>Boilermakers</x:v>
      </x:c>
      <x:c r="E593" s="2" t="str">
        <x:v>Include</x:v>
      </x:c>
      <x:c r="F593" s="2" t="str">
        <x:v>Yes</x:v>
      </x:c>
      <x:c r="G593" s="15" t="str">
        <x:v>6/6</x:v>
      </x:c>
      <x:c r="H593" s="18" t="n">
        <x:v>3</x:v>
      </x:c>
      <x:c r="I593" s="18" t="n">
        <x:v>3.5</x:v>
      </x:c>
      <x:c r="J593" s="18" t="n">
        <x:v>2.67</x:v>
      </x:c>
      <x:c r="K593" s="18" t="n">
        <x:v>4.33</x:v>
      </x:c>
      <x:c r="L593" s="18" t="n">
        <x:v>5</x:v>
      </x:c>
      <x:c r="M593" s="18" t="n">
        <x:v>4</x:v>
      </x:c>
      <x:c r="N593" s="12" t="str">
        <x:v>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x:v>
      </x:c>
      <x:c r="O593" s="12" t="str">
        <x:v>https://www.onetonline.org/link/summary/47-2011.00</x:v>
      </x:c>
      <x:c r="P593" s="12" t="str">
        <x:v>SOC47 construction and extraction occupations.</x:v>
      </x:c>
    </x:row>
    <x:row r="594" ht="37.5" customHeight="1">
      <x:c r="A594" s="15" t="str">
        <x:v>784010</x:v>
      </x:c>
      <x:c r="B594" s="12" t="str">
        <x:v>Construction and extraction occupations</x:v>
      </x:c>
      <x:c r="C594" s="35" t="str">
        <x:v>47-2021.00</x:v>
      </x:c>
      <x:c r="D594" s="12" t="str">
        <x:v>Brickmasons and Blockmasons</x:v>
      </x:c>
      <x:c r="E594" s="2" t="str">
        <x:v>Include</x:v>
      </x:c>
      <x:c r="F594" s="2" t="str">
        <x:v>Yes</x:v>
      </x:c>
      <x:c r="G594" s="15" t="str">
        <x:v>6/6</x:v>
      </x:c>
      <x:c r="H594" s="18" t="n">
        <x:v>3</x:v>
      </x:c>
      <x:c r="I594" s="18" t="n">
        <x:v>4</x:v>
      </x:c>
      <x:c r="J594" s="18" t="n">
        <x:v>2.33</x:v>
      </x:c>
      <x:c r="K594" s="18" t="n">
        <x:v>2.67</x:v>
      </x:c>
      <x:c r="L594" s="18" t="n">
        <x:v>4.67</x:v>
      </x:c>
      <x:c r="M594" s="18" t="n">
        <x:v>3.33</x:v>
      </x:c>
      <x:c r="N594" s="12" t="str">
        <x:v>Lay and bind building materials, such as brick, structural tile, concrete block, cinder block, glass block, and terra-cotta block, with mortar and other substances, to construct or repair walls, partitions, arches, sewers, and other structures.</x:v>
      </x:c>
      <x:c r="O594" s="12" t="str">
        <x:v>https://www.onetonline.org/link/summary/47-2021.00</x:v>
      </x:c>
      <x:c r="P594" s="12" t="str">
        <x:v>SOC47 construction and extraction occupations.</x:v>
      </x:c>
    </x:row>
    <x:row r="595" ht="37.5" customHeight="1">
      <x:c r="A595" s="15" t="str">
        <x:v>784010</x:v>
      </x:c>
      <x:c r="B595" s="12" t="str">
        <x:v>Construction and extraction occupations</x:v>
      </x:c>
      <x:c r="C595" s="35" t="str">
        <x:v>47-2022.00</x:v>
      </x:c>
      <x:c r="D595" s="12" t="str">
        <x:v>Stonemasons</x:v>
      </x:c>
      <x:c r="E595" s="2" t="str">
        <x:v>Include</x:v>
      </x:c>
      <x:c r="F595" s="2" t="str">
        <x:v>Yes</x:v>
      </x:c>
      <x:c r="G595" s="15" t="str">
        <x:v>6/6</x:v>
      </x:c>
      <x:c r="H595" s="18" t="n">
        <x:v>3.67</x:v>
      </x:c>
      <x:c r="I595" s="18" t="n">
        <x:v>3.67</x:v>
      </x:c>
      <x:c r="J595" s="18" t="n">
        <x:v>2.67</x:v>
      </x:c>
      <x:c r="K595" s="18" t="n">
        <x:v>3.67</x:v>
      </x:c>
      <x:c r="L595" s="18" t="n">
        <x:v>4.67</x:v>
      </x:c>
      <x:c r="M595" s="18" t="n">
        <x:v>4.67</x:v>
      </x:c>
      <x:c r="N595" s="12" t="str">
        <x:v>Build stone structures, such as piers, walls, and abutments. Lay walks, curbstones, or special types of masonry for vats, tanks, and floors.</x:v>
      </x:c>
      <x:c r="O595" s="12" t="str">
        <x:v>https://www.onetonline.org/link/summary/47-2022.00</x:v>
      </x:c>
      <x:c r="P595" s="12" t="str">
        <x:v>SOC47 construction and extraction occupations.</x:v>
      </x:c>
    </x:row>
    <x:row r="596" ht="37.5" customHeight="1">
      <x:c r="A596" s="15" t="str">
        <x:v>784010</x:v>
      </x:c>
      <x:c r="B596" s="12" t="str">
        <x:v>Construction and extraction occupations</x:v>
      </x:c>
      <x:c r="C596" s="35" t="str">
        <x:v>47-2031.00</x:v>
      </x:c>
      <x:c r="D596" s="12" t="str">
        <x:v>Carpenters</x:v>
      </x:c>
      <x:c r="E596" s="2" t="str">
        <x:v>Include</x:v>
      </x:c>
      <x:c r="F596" s="2" t="str">
        <x:v>Yes</x:v>
      </x:c>
      <x:c r="G596" s="15" t="str">
        <x:v>6/6</x:v>
      </x:c>
      <x:c r="H596" s="18" t="n">
        <x:v>3.67</x:v>
      </x:c>
      <x:c r="I596" s="18" t="n">
        <x:v>3.83</x:v>
      </x:c>
      <x:c r="J596" s="18" t="n">
        <x:v>2.83</x:v>
      </x:c>
      <x:c r="K596" s="18" t="n">
        <x:v>3</x:v>
      </x:c>
      <x:c r="L596" s="18" t="n">
        <x:v>4.83</x:v>
      </x:c>
      <x:c r="M596" s="18" t="n">
        <x:v>4.33</x:v>
      </x:c>
      <x:c r="N596" s="12" t="str">
        <x:v>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x:v>
      </x:c>
      <x:c r="O596" s="12" t="str">
        <x:v>https://www.onetonline.org/link/summary/47-2031.00</x:v>
      </x:c>
      <x:c r="P596" s="12" t="str">
        <x:v>SOC47 construction and extraction occupations.</x:v>
      </x:c>
    </x:row>
    <x:row r="597" ht="37.5" customHeight="1">
      <x:c r="A597" s="15" t="str">
        <x:v>784010</x:v>
      </x:c>
      <x:c r="B597" s="12" t="str">
        <x:v>Construction and extraction occupations</x:v>
      </x:c>
      <x:c r="C597" s="35" t="str">
        <x:v>47-2041.00</x:v>
      </x:c>
      <x:c r="D597" s="12" t="str">
        <x:v>Carpet Installers</x:v>
      </x:c>
      <x:c r="E597" s="2" t="str">
        <x:v>Include</x:v>
      </x:c>
      <x:c r="F597" s="2" t="str">
        <x:v>Yes</x:v>
      </x:c>
      <x:c r="G597" s="15" t="str">
        <x:v>6/6</x:v>
      </x:c>
      <x:c r="H597" s="18" t="n">
        <x:v>2</x:v>
      </x:c>
      <x:c r="I597" s="18" t="n">
        <x:v>2.83</x:v>
      </x:c>
      <x:c r="J597" s="18" t="n">
        <x:v>2</x:v>
      </x:c>
      <x:c r="K597" s="18" t="n">
        <x:v>4.33</x:v>
      </x:c>
      <x:c r="L597" s="18" t="n">
        <x:v>3.33</x:v>
      </x:c>
      <x:c r="M597" s="18" t="n">
        <x:v>3</x:v>
      </x:c>
      <x:c r="N597" s="12" t="str">
        <x:v>Lay and install carpet from rolls or blocks on floors. Install padding and trim flooring materials.</x:v>
      </x:c>
      <x:c r="O597" s="12" t="str">
        <x:v>https://www.onetonline.org/link/summary/47-2041.00</x:v>
      </x:c>
      <x:c r="P597" s="12" t="str">
        <x:v>SOC47 construction and extraction occupations.</x:v>
      </x:c>
    </x:row>
    <x:row r="598" ht="37.5" customHeight="1">
      <x:c r="A598" s="15" t="str">
        <x:v>784010</x:v>
      </x:c>
      <x:c r="B598" s="12" t="str">
        <x:v>Construction and extraction occupations</x:v>
      </x:c>
      <x:c r="C598" s="35" t="str">
        <x:v>47-2042.00</x:v>
      </x:c>
      <x:c r="D598" s="12" t="str">
        <x:v>Floor Layers, Except Carpet, Wood, and Hard Tiles</x:v>
      </x:c>
      <x:c r="E598" s="2" t="str">
        <x:v>Include</x:v>
      </x:c>
      <x:c r="F598" s="2" t="str">
        <x:v>Yes</x:v>
      </x:c>
      <x:c r="G598" s="15" t="str">
        <x:v>6/6</x:v>
      </x:c>
      <x:c r="H598" s="18" t="n">
        <x:v>2.67</x:v>
      </x:c>
      <x:c r="I598" s="18" t="n">
        <x:v>3.17</x:v>
      </x:c>
      <x:c r="J598" s="18" t="n">
        <x:v>2.33</x:v>
      </x:c>
      <x:c r="K598" s="18" t="n">
        <x:v>3</x:v>
      </x:c>
      <x:c r="L598" s="18" t="n">
        <x:v>4.33</x:v>
      </x:c>
      <x:c r="M598" s="18" t="n">
        <x:v>3.67</x:v>
      </x:c>
      <x:c r="N598" s="12" t="str">
        <x:v>Apply blocks, strips, or sheets of shock-absorbing, sound-deadening, or decorative coverings to floors.</x:v>
      </x:c>
      <x:c r="O598" s="12" t="str">
        <x:v>https://www.onetonline.org/link/summary/47-2042.00</x:v>
      </x:c>
      <x:c r="P598" s="12" t="str">
        <x:v>SOC47 construction and extraction occupations.</x:v>
      </x:c>
    </x:row>
    <x:row r="599" ht="37.5" customHeight="1">
      <x:c r="A599" s="15" t="str">
        <x:v>784010</x:v>
      </x:c>
      <x:c r="B599" s="12" t="str">
        <x:v>Construction and extraction occupations</x:v>
      </x:c>
      <x:c r="C599" s="35" t="str">
        <x:v>47-2043.00</x:v>
      </x:c>
      <x:c r="D599" s="12" t="str">
        <x:v>Floor Sanders and Finishers</x:v>
      </x:c>
      <x:c r="E599" s="2" t="str">
        <x:v>Include</x:v>
      </x:c>
      <x:c r="F599" s="2" t="str">
        <x:v>Yes</x:v>
      </x:c>
      <x:c r="G599" s="15" t="str">
        <x:v>6/6</x:v>
      </x:c>
      <x:c r="H599" s="18" t="n">
        <x:v>2</x:v>
      </x:c>
      <x:c r="I599" s="18" t="n">
        <x:v>2.5</x:v>
      </x:c>
      <x:c r="J599" s="18" t="n">
        <x:v>2</x:v>
      </x:c>
      <x:c r="K599" s="18" t="n">
        <x:v>3</x:v>
      </x:c>
      <x:c r="L599" s="18" t="n">
        <x:v>3.33</x:v>
      </x:c>
      <x:c r="M599" s="18" t="n">
        <x:v>2</x:v>
      </x:c>
      <x:c r="N599" s="12" t="str">
        <x:v>Scrape and sand wooden floors to smooth surfaces using floor scraper and floor sanding machine, and apply coats of finish.</x:v>
      </x:c>
      <x:c r="O599" s="12" t="str">
        <x:v>https://www.onetonline.org/link/summary/47-2043.00</x:v>
      </x:c>
      <x:c r="P599" s="12" t="str">
        <x:v>SOC47 construction and extraction occupations.</x:v>
      </x:c>
    </x:row>
    <x:row r="600" ht="37.5" customHeight="1">
      <x:c r="A600" s="15" t="str">
        <x:v>784010</x:v>
      </x:c>
      <x:c r="B600" s="12" t="str">
        <x:v>Construction and extraction occupations</x:v>
      </x:c>
      <x:c r="C600" s="35" t="str">
        <x:v>47-2044.00</x:v>
      </x:c>
      <x:c r="D600" s="12" t="str">
        <x:v>Tile and Stone Setters</x:v>
      </x:c>
      <x:c r="E600" s="2" t="str">
        <x:v>Include</x:v>
      </x:c>
      <x:c r="F600" s="2" t="str">
        <x:v>Yes</x:v>
      </x:c>
      <x:c r="G600" s="15" t="str">
        <x:v>6/6</x:v>
      </x:c>
      <x:c r="H600" s="18" t="n">
        <x:v>2</x:v>
      </x:c>
      <x:c r="I600" s="18" t="n">
        <x:v>3.5</x:v>
      </x:c>
      <x:c r="J600" s="18" t="n">
        <x:v>2.33</x:v>
      </x:c>
      <x:c r="K600" s="18" t="n">
        <x:v>3.33</x:v>
      </x:c>
      <x:c r="L600" s="18" t="n">
        <x:v>4.33</x:v>
      </x:c>
      <x:c r="M600" s="18" t="n">
        <x:v>4.67</x:v>
      </x:c>
      <x:c r="N600" s="12" t="str">
        <x:v>Apply hard tile, stone, and comparable materials to walls, floors, ceilings, countertops, and roof decks.</x:v>
      </x:c>
      <x:c r="O600" s="12" t="str">
        <x:v>https://www.onetonline.org/link/summary/47-2044.00</x:v>
      </x:c>
      <x:c r="P600" s="12" t="str">
        <x:v>SOC47 construction and extraction occupations.</x:v>
      </x:c>
    </x:row>
    <x:row r="601" ht="37.5" customHeight="1">
      <x:c r="A601" s="15" t="str">
        <x:v>784010</x:v>
      </x:c>
      <x:c r="B601" s="12" t="str">
        <x:v>Construction and extraction occupations</x:v>
      </x:c>
      <x:c r="C601" s="35" t="str">
        <x:v>47-2051.00</x:v>
      </x:c>
      <x:c r="D601" s="12" t="str">
        <x:v>Cement Masons and Concrete Finishers</x:v>
      </x:c>
      <x:c r="E601" s="2" t="str">
        <x:v>Include</x:v>
      </x:c>
      <x:c r="F601" s="2" t="str">
        <x:v>Yes</x:v>
      </x:c>
      <x:c r="G601" s="15" t="str">
        <x:v>6/6</x:v>
      </x:c>
      <x:c r="H601" s="18" t="n">
        <x:v>2.33</x:v>
      </x:c>
      <x:c r="I601" s="18" t="n">
        <x:v>3</x:v>
      </x:c>
      <x:c r="J601" s="18" t="n">
        <x:v>2.67</x:v>
      </x:c>
      <x:c r="K601" s="18" t="n">
        <x:v>4.33</x:v>
      </x:c>
      <x:c r="L601" s="18" t="n">
        <x:v>4</x:v>
      </x:c>
      <x:c r="M601" s="18" t="n">
        <x:v>3.67</x:v>
      </x:c>
      <x:c r="N601" s="12" t="str">
        <x:v>Smooth and finish surfaces of poured concrete, such as floors, walks, sidewalks, roads, or curbs using a variety of hand and power tools. Align forms for sidewalks, curbs, or gutters; patch voids; and use saws to cut expansion joints.</x:v>
      </x:c>
      <x:c r="O601" s="12" t="str">
        <x:v>https://www.onetonline.org/link/summary/47-2051.00</x:v>
      </x:c>
      <x:c r="P601" s="12" t="str">
        <x:v>SOC47 construction and extraction occupations.</x:v>
      </x:c>
    </x:row>
    <x:row r="602" ht="37.5" customHeight="1">
      <x:c r="A602" s="15" t="str">
        <x:v>784010</x:v>
      </x:c>
      <x:c r="B602" s="12" t="str">
        <x:v>Construction and extraction occupations</x:v>
      </x:c>
      <x:c r="C602" s="35" t="str">
        <x:v>47-2053.00</x:v>
      </x:c>
      <x:c r="D602" s="12" t="str">
        <x:v>Terrazzo Workers and Finishers</x:v>
      </x:c>
      <x:c r="E602" s="2" t="str">
        <x:v>Include</x:v>
      </x:c>
      <x:c r="F602" s="2" t="str">
        <x:v>Yes</x:v>
      </x:c>
      <x:c r="G602" s="15" t="str">
        <x:v>6/6</x:v>
      </x:c>
      <x:c r="H602" s="18" t="n">
        <x:v>3.67</x:v>
      </x:c>
      <x:c r="I602" s="18" t="n">
        <x:v>3.5</x:v>
      </x:c>
      <x:c r="J602" s="18" t="n">
        <x:v>2</x:v>
      </x:c>
      <x:c r="K602" s="18" t="n">
        <x:v>3</x:v>
      </x:c>
      <x:c r="L602" s="18" t="n">
        <x:v>4</x:v>
      </x:c>
      <x:c r="M602" s="18" t="n">
        <x:v>4.33</x:v>
      </x:c>
      <x:c r="N602" s="12" t="str">
        <x:v>Apply a mixture of cement, sand, pigment, or marble chips to floors, stairways, and cabinet fixtures to fashion durable and decorative surfaces.</x:v>
      </x:c>
      <x:c r="O602" s="12" t="str">
        <x:v>https://www.onetonline.org/link/summary/47-2053.00</x:v>
      </x:c>
      <x:c r="P602" s="12" t="str">
        <x:v>SOC47 construction and extraction occupations.</x:v>
      </x:c>
    </x:row>
    <x:row r="603" ht="37.5" customHeight="1">
      <x:c r="A603" s="15" t="str">
        <x:v>784010</x:v>
      </x:c>
      <x:c r="B603" s="12" t="str">
        <x:v>Construction and extraction occupations</x:v>
      </x:c>
      <x:c r="C603" s="35" t="str">
        <x:v>47-2061.00</x:v>
      </x:c>
      <x:c r="D603" s="12" t="str">
        <x:v>Construction Laborers</x:v>
      </x:c>
      <x:c r="E603" s="2" t="str">
        <x:v>Include</x:v>
      </x:c>
      <x:c r="F603" s="2" t="str">
        <x:v>Yes</x:v>
      </x:c>
      <x:c r="G603" s="15" t="str">
        <x:v>6/6</x:v>
      </x:c>
      <x:c r="H603" s="18" t="n">
        <x:v>2.33</x:v>
      </x:c>
      <x:c r="I603" s="18" t="n">
        <x:v>3.17</x:v>
      </x:c>
      <x:c r="J603" s="18" t="n">
        <x:v>1.67</x:v>
      </x:c>
      <x:c r="K603" s="18" t="n">
        <x:v>4</x:v>
      </x:c>
      <x:c r="L603" s="18" t="n">
        <x:v>4.33</x:v>
      </x:c>
      <x:c r="M603" s="18" t="n">
        <x:v>2.67</x:v>
      </x:c>
      <x:c r="N603" s="12" t="str">
        <x:v>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x:v>
      </x:c>
      <x:c r="O603" s="12" t="str">
        <x:v>https://www.onetonline.org/link/summary/47-2061.00</x:v>
      </x:c>
      <x:c r="P603" s="12" t="str">
        <x:v>SOC47 construction and extraction occupations.</x:v>
      </x:c>
    </x:row>
    <x:row r="604" ht="37.5" customHeight="1">
      <x:c r="A604" s="15" t="str">
        <x:v>784010</x:v>
      </x:c>
      <x:c r="B604" s="12" t="str">
        <x:v>Construction and extraction occupations</x:v>
      </x:c>
      <x:c r="C604" s="35" t="str">
        <x:v>47-2071.00</x:v>
      </x:c>
      <x:c r="D604" s="12" t="str">
        <x:v>Paving, Surfacing, and Tamping Equipment Operators</x:v>
      </x:c>
      <x:c r="E604" s="2" t="str">
        <x:v>Include</x:v>
      </x:c>
      <x:c r="F604" s="2" t="str">
        <x:v>Yes</x:v>
      </x:c>
      <x:c r="G604" s="15" t="str">
        <x:v>6/6</x:v>
      </x:c>
      <x:c r="H604" s="18" t="n">
        <x:v>2.33</x:v>
      </x:c>
      <x:c r="I604" s="18" t="n">
        <x:v>2.83</x:v>
      </x:c>
      <x:c r="J604" s="18" t="n">
        <x:v>2</x:v>
      </x:c>
      <x:c r="K604" s="18" t="n">
        <x:v>3.67</x:v>
      </x:c>
      <x:c r="L604" s="18" t="n">
        <x:v>5.67</x:v>
      </x:c>
      <x:c r="M604" s="18" t="n">
        <x:v>3.33</x:v>
      </x:c>
      <x:c r="N604" s="12" t="str">
        <x:v>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x:v>
      </x:c>
      <x:c r="O604" s="12" t="str">
        <x:v>https://www.onetonline.org/link/summary/47-2071.00</x:v>
      </x:c>
      <x:c r="P604" s="12" t="str">
        <x:v>SOC47 construction and extraction occupations.</x:v>
      </x:c>
    </x:row>
    <x:row r="605" ht="37.5" customHeight="1">
      <x:c r="A605" s="15" t="str">
        <x:v>784010</x:v>
      </x:c>
      <x:c r="B605" s="12" t="str">
        <x:v>Construction and extraction occupations</x:v>
      </x:c>
      <x:c r="C605" s="35" t="str">
        <x:v>47-2072.00</x:v>
      </x:c>
      <x:c r="D605" s="12" t="str">
        <x:v>Pile Driver Operators</x:v>
      </x:c>
      <x:c r="E605" s="2" t="str">
        <x:v>Include</x:v>
      </x:c>
      <x:c r="F605" s="2" t="str">
        <x:v>Yes</x:v>
      </x:c>
      <x:c r="G605" s="15" t="str">
        <x:v>6/6</x:v>
      </x:c>
      <x:c r="H605" s="18" t="n">
        <x:v>2.33</x:v>
      </x:c>
      <x:c r="I605" s="18" t="n">
        <x:v>2.83</x:v>
      </x:c>
      <x:c r="J605" s="18" t="n">
        <x:v>2</x:v>
      </x:c>
      <x:c r="K605" s="18" t="n">
        <x:v>3</x:v>
      </x:c>
      <x:c r="L605" s="18" t="n">
        <x:v>5.33</x:v>
      </x:c>
      <x:c r="M605" s="18" t="n">
        <x:v>2.33</x:v>
      </x:c>
      <x:c r="N605" s="12" t="str">
        <x:v>Operate pile drivers mounted on skids, barges, crawler treads, or locomotive cranes to drive pilings for retaining walls, bulkheads, and foundations of structures such as buildings, bridges, and piers.</x:v>
      </x:c>
      <x:c r="O605" s="12" t="str">
        <x:v>https://www.onetonline.org/link/summary/47-2072.00</x:v>
      </x:c>
      <x:c r="P605" s="12" t="str">
        <x:v>SOC47 construction and extraction occupations.</x:v>
      </x:c>
    </x:row>
    <x:row r="606" ht="37.5" customHeight="1">
      <x:c r="A606" s="15" t="str">
        <x:v>784010</x:v>
      </x:c>
      <x:c r="B606" s="12" t="str">
        <x:v>Construction and extraction occupations</x:v>
      </x:c>
      <x:c r="C606" s="35" t="str">
        <x:v>47-2073.00</x:v>
      </x:c>
      <x:c r="D606" s="12" t="str">
        <x:v>Operating Engineers and Other Construction Equipment Operators</x:v>
      </x:c>
      <x:c r="E606" s="2" t="str">
        <x:v>Include</x:v>
      </x:c>
      <x:c r="F606" s="2" t="str">
        <x:v>Yes</x:v>
      </x:c>
      <x:c r="G606" s="15" t="str">
        <x:v>6/6</x:v>
      </x:c>
      <x:c r="H606" s="18" t="n">
        <x:v>3.33</x:v>
      </x:c>
      <x:c r="I606" s="18" t="n">
        <x:v>3.67</x:v>
      </x:c>
      <x:c r="J606" s="18" t="n">
        <x:v>2.67</x:v>
      </x:c>
      <x:c r="K606" s="18" t="n">
        <x:v>4</x:v>
      </x:c>
      <x:c r="L606" s="18" t="n">
        <x:v>5</x:v>
      </x:c>
      <x:c r="M606" s="18" t="n">
        <x:v>3</x:v>
      </x:c>
      <x:c r="N606" s="12" t="str">
        <x:v>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x:v>
      </x:c>
      <x:c r="O606" s="12" t="str">
        <x:v>https://www.onetonline.org/link/summary/47-2073.00</x:v>
      </x:c>
      <x:c r="P606" s="12" t="str">
        <x:v>SOC47 construction and extraction occupations.</x:v>
      </x:c>
    </x:row>
    <x:row r="607" ht="37.5" customHeight="1">
      <x:c r="A607" s="15" t="str">
        <x:v>784010</x:v>
      </x:c>
      <x:c r="B607" s="12" t="str">
        <x:v>Construction and extraction occupations</x:v>
      </x:c>
      <x:c r="C607" s="35" t="str">
        <x:v>47-2081.00</x:v>
      </x:c>
      <x:c r="D607" s="12" t="str">
        <x:v>Drywall and Ceiling Tile Installers</x:v>
      </x:c>
      <x:c r="E607" s="2" t="str">
        <x:v>Include</x:v>
      </x:c>
      <x:c r="F607" s="2" t="str">
        <x:v>Yes</x:v>
      </x:c>
      <x:c r="G607" s="15" t="str">
        <x:v>6/6</x:v>
      </x:c>
      <x:c r="H607" s="18" t="n">
        <x:v>2.67</x:v>
      </x:c>
      <x:c r="I607" s="18" t="n">
        <x:v>3.83</x:v>
      </x:c>
      <x:c r="J607" s="18" t="n">
        <x:v>2.33</x:v>
      </x:c>
      <x:c r="K607" s="18" t="n">
        <x:v>3.67</x:v>
      </x:c>
      <x:c r="L607" s="18" t="n">
        <x:v>4.33</x:v>
      </x:c>
      <x:c r="M607" s="18" t="n">
        <x:v>4</x:v>
      </x:c>
      <x:c r="N607" s="12" t="str">
        <x:v>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x:v>
      </x:c>
      <x:c r="O607" s="12" t="str">
        <x:v>https://www.onetonline.org/link/summary/47-2081.00</x:v>
      </x:c>
      <x:c r="P607" s="12" t="str">
        <x:v>SOC47 construction and extraction occupations.</x:v>
      </x:c>
    </x:row>
    <x:row r="608" ht="37.5" customHeight="1">
      <x:c r="A608" s="15" t="str">
        <x:v>784010</x:v>
      </x:c>
      <x:c r="B608" s="12" t="str">
        <x:v>Construction and extraction occupations</x:v>
      </x:c>
      <x:c r="C608" s="35" t="str">
        <x:v>47-2082.00</x:v>
      </x:c>
      <x:c r="D608" s="12" t="str">
        <x:v>Tapers</x:v>
      </x:c>
      <x:c r="E608" s="2" t="str">
        <x:v>Include</x:v>
      </x:c>
      <x:c r="F608" s="2" t="str">
        <x:v>Yes</x:v>
      </x:c>
      <x:c r="G608" s="15" t="str">
        <x:v>6/6</x:v>
      </x:c>
      <x:c r="H608" s="18" t="n">
        <x:v>2.33</x:v>
      </x:c>
      <x:c r="I608" s="18" t="n">
        <x:v>3</x:v>
      </x:c>
      <x:c r="J608" s="18" t="n">
        <x:v>2</x:v>
      </x:c>
      <x:c r="K608" s="18" t="n">
        <x:v>4</x:v>
      </x:c>
      <x:c r="L608" s="18" t="n">
        <x:v>4</x:v>
      </x:c>
      <x:c r="M608" s="18" t="n">
        <x:v>3</x:v>
      </x:c>
      <x:c r="N608" s="12" t="str">
        <x:v>Seal joints between plasterboard or other wallboard to prepare wall surface for painting or papering.</x:v>
      </x:c>
      <x:c r="O608" s="12" t="str">
        <x:v>https://www.onetonline.org/link/summary/47-2082.00</x:v>
      </x:c>
      <x:c r="P608" s="12" t="str">
        <x:v>SOC47 construction and extraction occupations.</x:v>
      </x:c>
    </x:row>
    <x:row r="609" ht="37.5" customHeight="1">
      <x:c r="A609" s="15" t="str">
        <x:v>784010</x:v>
      </x:c>
      <x:c r="B609" s="12" t="str">
        <x:v>Construction and extraction occupations</x:v>
      </x:c>
      <x:c r="C609" s="35" t="str">
        <x:v>47-2111.00</x:v>
      </x:c>
      <x:c r="D609" s="12" t="str">
        <x:v>Electricians</x:v>
      </x:c>
      <x:c r="E609" s="2" t="str">
        <x:v>Include</x:v>
      </x:c>
      <x:c r="F609" s="2" t="str">
        <x:v>Yes</x:v>
      </x:c>
      <x:c r="G609" s="15" t="str">
        <x:v>6/6</x:v>
      </x:c>
      <x:c r="H609" s="18" t="n">
        <x:v>4.33</x:v>
      </x:c>
      <x:c r="I609" s="18" t="n">
        <x:v>4.17</x:v>
      </x:c>
      <x:c r="J609" s="18" t="n">
        <x:v>3.33</x:v>
      </x:c>
      <x:c r="K609" s="18" t="n">
        <x:v>3.67</x:v>
      </x:c>
      <x:c r="L609" s="18" t="n">
        <x:v>5</x:v>
      </x:c>
      <x:c r="M609" s="18" t="n">
        <x:v>5.33</x:v>
      </x:c>
      <x:c r="N609" s="12" t="str">
        <x:v>Install, maintain, and repair electrical wiring, equipment, and fixtures. Ensure that work is in accordance with relevant codes. May install or service street lights, intercom systems, or electrical control systems.</x:v>
      </x:c>
      <x:c r="O609" s="12" t="str">
        <x:v>https://www.onetonline.org/link/summary/47-2111.00</x:v>
      </x:c>
      <x:c r="P609" s="12" t="str">
        <x:v>SOC47 construction and extraction occupations.</x:v>
      </x:c>
    </x:row>
    <x:row r="610" ht="37.5" customHeight="1">
      <x:c r="A610" s="15" t="str">
        <x:v>784010</x:v>
      </x:c>
      <x:c r="B610" s="12" t="str">
        <x:v>Construction and extraction occupations</x:v>
      </x:c>
      <x:c r="C610" s="35" t="str">
        <x:v>47-2121.00</x:v>
      </x:c>
      <x:c r="D610" s="12" t="str">
        <x:v>Glaziers</x:v>
      </x:c>
      <x:c r="E610" s="2" t="str">
        <x:v>Include</x:v>
      </x:c>
      <x:c r="F610" s="2" t="str">
        <x:v>Yes</x:v>
      </x:c>
      <x:c r="G610" s="15" t="str">
        <x:v>6/6</x:v>
      </x:c>
      <x:c r="H610" s="18" t="n">
        <x:v>3.33</x:v>
      </x:c>
      <x:c r="I610" s="18" t="n">
        <x:v>4</x:v>
      </x:c>
      <x:c r="J610" s="18" t="n">
        <x:v>2.33</x:v>
      </x:c>
      <x:c r="K610" s="18" t="n">
        <x:v>3.67</x:v>
      </x:c>
      <x:c r="L610" s="18" t="n">
        <x:v>3.33</x:v>
      </x:c>
      <x:c r="M610" s="18" t="n">
        <x:v>3</x:v>
      </x:c>
      <x:c r="N610" s="12" t="str">
        <x:v>Install glass in windows, skylights, store fronts, and display cases, or on surfaces, such as building fronts, interior walls, ceilings, and tabletops.</x:v>
      </x:c>
      <x:c r="O610" s="12" t="str">
        <x:v>https://www.onetonline.org/link/summary/47-2121.00</x:v>
      </x:c>
      <x:c r="P610" s="12" t="str">
        <x:v>SOC47 construction and extraction occupations.</x:v>
      </x:c>
    </x:row>
    <x:row r="611" ht="37.5" customHeight="1">
      <x:c r="A611" s="15" t="str">
        <x:v>784010</x:v>
      </x:c>
      <x:c r="B611" s="12" t="str">
        <x:v>Construction and extraction occupations</x:v>
      </x:c>
      <x:c r="C611" s="35" t="str">
        <x:v>47-2131.00</x:v>
      </x:c>
      <x:c r="D611" s="12" t="str">
        <x:v>Insulation Workers, Floor, Ceiling, and Wall</x:v>
      </x:c>
      <x:c r="E611" s="2" t="str">
        <x:v>Include</x:v>
      </x:c>
      <x:c r="F611" s="2" t="str">
        <x:v>Yes</x:v>
      </x:c>
      <x:c r="G611" s="15" t="str">
        <x:v>6/6</x:v>
      </x:c>
      <x:c r="H611" s="18" t="n">
        <x:v>2.33</x:v>
      </x:c>
      <x:c r="I611" s="18" t="n">
        <x:v>2.33</x:v>
      </x:c>
      <x:c r="J611" s="18" t="n">
        <x:v>2.33</x:v>
      </x:c>
      <x:c r="K611" s="18" t="n">
        <x:v>2.67</x:v>
      </x:c>
      <x:c r="L611" s="18" t="n">
        <x:v>4.67</x:v>
      </x:c>
      <x:c r="M611" s="18" t="n">
        <x:v>2.67</x:v>
      </x:c>
      <x:c r="N611" s="12" t="str">
        <x:v>Line and cover structures with insulating materials. May work with batt, roll, or blown insulation materials.</x:v>
      </x:c>
      <x:c r="O611" s="12" t="str">
        <x:v>https://www.onetonline.org/link/summary/47-2131.00</x:v>
      </x:c>
      <x:c r="P611" s="12" t="str">
        <x:v>SOC47 construction and extraction occupations.</x:v>
      </x:c>
    </x:row>
    <x:row r="612" ht="37.5" customHeight="1">
      <x:c r="A612" s="15" t="str">
        <x:v>784010</x:v>
      </x:c>
      <x:c r="B612" s="12" t="str">
        <x:v>Construction and extraction occupations</x:v>
      </x:c>
      <x:c r="C612" s="35" t="str">
        <x:v>47-2132.00</x:v>
      </x:c>
      <x:c r="D612" s="12" t="str">
        <x:v>Insulation Workers, Mechanical</x:v>
      </x:c>
      <x:c r="E612" s="2" t="str">
        <x:v>Include</x:v>
      </x:c>
      <x:c r="F612" s="2" t="str">
        <x:v>Yes</x:v>
      </x:c>
      <x:c r="G612" s="15" t="str">
        <x:v>6/6</x:v>
      </x:c>
      <x:c r="H612" s="18" t="n">
        <x:v>2.67</x:v>
      </x:c>
      <x:c r="I612" s="18" t="n">
        <x:v>3.33</x:v>
      </x:c>
      <x:c r="J612" s="18" t="n">
        <x:v>2.33</x:v>
      </x:c>
      <x:c r="K612" s="18" t="n">
        <x:v>4</x:v>
      </x:c>
      <x:c r="L612" s="18" t="n">
        <x:v>5.67</x:v>
      </x:c>
      <x:c r="M612" s="18" t="n">
        <x:v>5.33</x:v>
      </x:c>
      <x:c r="N612" s="12" t="str">
        <x:v>Apply insulating materials to pipes or ductwork, or other mechanical systems in order to help control and maintain temperature.</x:v>
      </x:c>
      <x:c r="O612" s="12" t="str">
        <x:v>https://www.onetonline.org/link/summary/47-2132.00</x:v>
      </x:c>
      <x:c r="P612" s="12" t="str">
        <x:v>SOC47 construction and extraction occupations.</x:v>
      </x:c>
    </x:row>
    <x:row r="613" ht="37.5" customHeight="1">
      <x:c r="A613" s="15" t="str">
        <x:v>784010</x:v>
      </x:c>
      <x:c r="B613" s="12" t="str">
        <x:v>Construction and extraction occupations</x:v>
      </x:c>
      <x:c r="C613" s="35" t="str">
        <x:v>47-2141.00</x:v>
      </x:c>
      <x:c r="D613" s="12" t="str">
        <x:v>Painters, Construction and Maintenance</x:v>
      </x:c>
      <x:c r="E613" s="2" t="str">
        <x:v>Include</x:v>
      </x:c>
      <x:c r="F613" s="2" t="str">
        <x:v>Yes</x:v>
      </x:c>
      <x:c r="G613" s="15" t="str">
        <x:v>6/6</x:v>
      </x:c>
      <x:c r="H613" s="18" t="n">
        <x:v>3</x:v>
      </x:c>
      <x:c r="I613" s="18" t="n">
        <x:v>3.33</x:v>
      </x:c>
      <x:c r="J613" s="18" t="n">
        <x:v>2.33</x:v>
      </x:c>
      <x:c r="K613" s="18" t="n">
        <x:v>3.33</x:v>
      </x:c>
      <x:c r="L613" s="18" t="n">
        <x:v>4</x:v>
      </x:c>
      <x:c r="M613" s="18" t="n">
        <x:v>3.67</x:v>
      </x:c>
      <x:c r="N613" s="12" t="str">
        <x:v>Paint walls, equipment, buildings, bridges, and other structural surfaces, using brushes, rollers, and spray guns. May remove old paint to prepare surface prior to painting. May mix colors or oils to obtain desired color or consistency.</x:v>
      </x:c>
      <x:c r="O613" s="12" t="str">
        <x:v>https://www.onetonline.org/link/summary/47-2141.00</x:v>
      </x:c>
      <x:c r="P613" s="12" t="str">
        <x:v>SOC47 construction and extraction occupations.</x:v>
      </x:c>
    </x:row>
    <x:row r="614" ht="37.5" customHeight="1">
      <x:c r="A614" s="15" t="str">
        <x:v>784010</x:v>
      </x:c>
      <x:c r="B614" s="12" t="str">
        <x:v>Construction and extraction occupations</x:v>
      </x:c>
      <x:c r="C614" s="35" t="str">
        <x:v>47-2142.00</x:v>
      </x:c>
      <x:c r="D614" s="12" t="str">
        <x:v>Paperhangers</x:v>
      </x:c>
      <x:c r="E614" s="2" t="str">
        <x:v>Include</x:v>
      </x:c>
      <x:c r="F614" s="2" t="str">
        <x:v>Yes</x:v>
      </x:c>
      <x:c r="G614" s="15" t="str">
        <x:v>6/6</x:v>
      </x:c>
      <x:c r="H614" s="18" t="n">
        <x:v>2.33</x:v>
      </x:c>
      <x:c r="I614" s="18" t="n">
        <x:v>2.67</x:v>
      </x:c>
      <x:c r="J614" s="18" t="n">
        <x:v>1.67</x:v>
      </x:c>
      <x:c r="K614" s="18" t="n">
        <x:v>3</x:v>
      </x:c>
      <x:c r="L614" s="18" t="n">
        <x:v>3</x:v>
      </x:c>
      <x:c r="M614" s="18" t="n">
        <x:v>2.33</x:v>
      </x:c>
      <x:c r="N614" s="12" t="str">
        <x:v>Cover interior walls or ceilings of rooms with decorative wallpaper or fabric, or attach advertising posters on surfaces such as walls and billboards. May remove old materials or prepare surfaces to be papered.</x:v>
      </x:c>
      <x:c r="O614" s="12" t="str">
        <x:v>https://www.onetonline.org/link/summary/47-2142.00</x:v>
      </x:c>
      <x:c r="P614" s="12" t="str">
        <x:v>SOC47 construction and extraction occupations.</x:v>
      </x:c>
    </x:row>
    <x:row r="615" ht="37.5" customHeight="1">
      <x:c r="A615" s="15" t="str">
        <x:v>784010</x:v>
      </x:c>
      <x:c r="B615" s="12" t="str">
        <x:v>Construction and extraction occupations</x:v>
      </x:c>
      <x:c r="C615" s="35" t="str">
        <x:v>47-2151.00</x:v>
      </x:c>
      <x:c r="D615" s="12" t="str">
        <x:v>Pipelayers</x:v>
      </x:c>
      <x:c r="E615" s="2" t="str">
        <x:v>Include</x:v>
      </x:c>
      <x:c r="F615" s="2" t="str">
        <x:v>Yes</x:v>
      </x:c>
      <x:c r="G615" s="15" t="str">
        <x:v>6/6</x:v>
      </x:c>
      <x:c r="H615" s="18" t="n">
        <x:v>2.33</x:v>
      </x:c>
      <x:c r="I615" s="18" t="n">
        <x:v>2.83</x:v>
      </x:c>
      <x:c r="J615" s="18" t="n">
        <x:v>2.33</x:v>
      </x:c>
      <x:c r="K615" s="18" t="n">
        <x:v>4</x:v>
      </x:c>
      <x:c r="L615" s="18" t="n">
        <x:v>5</x:v>
      </x:c>
      <x:c r="M615" s="18" t="n">
        <x:v>3.33</x:v>
      </x:c>
      <x:c r="N615" s="12" t="str">
        <x:v>Lay pipe for storm or sanitation sewers, drains, and water mains. Perform any combination of the following tasks: grade trenches or culverts, position pipe, or seal joints.</x:v>
      </x:c>
      <x:c r="O615" s="12" t="str">
        <x:v>https://www.onetonline.org/link/summary/47-2151.00</x:v>
      </x:c>
      <x:c r="P615" s="12" t="str">
        <x:v>SOC47 construction and extraction occupations.</x:v>
      </x:c>
    </x:row>
    <x:row r="616" ht="37.5" customHeight="1">
      <x:c r="A616" s="15" t="str">
        <x:v>784010</x:v>
      </x:c>
      <x:c r="B616" s="12" t="str">
        <x:v>Construction and extraction occupations</x:v>
      </x:c>
      <x:c r="C616" s="35" t="str">
        <x:v>47-2152.00</x:v>
      </x:c>
      <x:c r="D616" s="12" t="str">
        <x:v>Plumbers, Pipefitters, and Steamfitters</x:v>
      </x:c>
      <x:c r="E616" s="2" t="str">
        <x:v>Include</x:v>
      </x:c>
      <x:c r="F616" s="2" t="str">
        <x:v>Yes</x:v>
      </x:c>
      <x:c r="G616" s="15" t="str">
        <x:v>6/6</x:v>
      </x:c>
      <x:c r="H616" s="18" t="n">
        <x:v>3.5</x:v>
      </x:c>
      <x:c r="I616" s="18" t="n">
        <x:v>4.08</x:v>
      </x:c>
      <x:c r="J616" s="18" t="n">
        <x:v>3</x:v>
      </x:c>
      <x:c r="K616" s="18" t="n">
        <x:v>4.67</x:v>
      </x:c>
      <x:c r="L616" s="18" t="n">
        <x:v>4.5</x:v>
      </x:c>
      <x:c r="M616" s="18" t="n">
        <x:v>4.67</x:v>
      </x:c>
      <x:c r="N616" s="12" t="str">
        <x:v>Assemble, install, alter, and repair pipelines or pipe systems that carry water, steam, air, or other liquids or gases. May install heating and cooling equipment and mechanical control systems. Includes sprinkler fitters.</x:v>
      </x:c>
      <x:c r="O616" s="12" t="str">
        <x:v>https://www.onetonline.org/link/summary/47-2152.00</x:v>
      </x:c>
      <x:c r="P616" s="12" t="str">
        <x:v>SOC47 construction and extraction occupations.</x:v>
      </x:c>
    </x:row>
    <x:row r="617" ht="37.5" customHeight="1">
      <x:c r="A617" s="15" t="str">
        <x:v>784010</x:v>
      </x:c>
      <x:c r="B617" s="12" t="str">
        <x:v>Construction and extraction occupations</x:v>
      </x:c>
      <x:c r="C617" s="35" t="str">
        <x:v>47-2161.00</x:v>
      </x:c>
      <x:c r="D617" s="12" t="str">
        <x:v>Plasterers and Stucco Masons</x:v>
      </x:c>
      <x:c r="E617" s="2" t="str">
        <x:v>Include</x:v>
      </x:c>
      <x:c r="F617" s="2" t="str">
        <x:v>Yes</x:v>
      </x:c>
      <x:c r="G617" s="15" t="str">
        <x:v>6/6</x:v>
      </x:c>
      <x:c r="H617" s="18" t="n">
        <x:v>2.67</x:v>
      </x:c>
      <x:c r="I617" s="18" t="n">
        <x:v>3</x:v>
      </x:c>
      <x:c r="J617" s="18" t="n">
        <x:v>2.67</x:v>
      </x:c>
      <x:c r="K617" s="18" t="n">
        <x:v>3.33</x:v>
      </x:c>
      <x:c r="L617" s="18" t="n">
        <x:v>3</x:v>
      </x:c>
      <x:c r="M617" s="18" t="n">
        <x:v>4</x:v>
      </x:c>
      <x:c r="N617" s="12" t="str">
        <x:v>Apply interior or exterior plaster, cement, stucco, or similar materials. May also set ornamental plaster.</x:v>
      </x:c>
      <x:c r="O617" s="12" t="str">
        <x:v>https://www.onetonline.org/link/summary/47-2161.00</x:v>
      </x:c>
      <x:c r="P617" s="12" t="str">
        <x:v>SOC47 construction and extraction occupations.</x:v>
      </x:c>
    </x:row>
    <x:row r="618" ht="37.5" customHeight="1">
      <x:c r="A618" s="15" t="str">
        <x:v>784010</x:v>
      </x:c>
      <x:c r="B618" s="12" t="str">
        <x:v>Construction and extraction occupations</x:v>
      </x:c>
      <x:c r="C618" s="35" t="str">
        <x:v>47-2171.00</x:v>
      </x:c>
      <x:c r="D618" s="12" t="str">
        <x:v>Reinforcing Iron and Rebar Workers</x:v>
      </x:c>
      <x:c r="E618" s="2" t="str">
        <x:v>Include</x:v>
      </x:c>
      <x:c r="F618" s="2" t="str">
        <x:v>Yes</x:v>
      </x:c>
      <x:c r="G618" s="15" t="str">
        <x:v>6/6</x:v>
      </x:c>
      <x:c r="H618" s="18" t="n">
        <x:v>2</x:v>
      </x:c>
      <x:c r="I618" s="18" t="n">
        <x:v>3.17</x:v>
      </x:c>
      <x:c r="J618" s="18" t="n">
        <x:v>2.33</x:v>
      </x:c>
      <x:c r="K618" s="18" t="n">
        <x:v>4.33</x:v>
      </x:c>
      <x:c r="L618" s="18" t="n">
        <x:v>5</x:v>
      </x:c>
      <x:c r="M618" s="18" t="n">
        <x:v>2.33</x:v>
      </x:c>
      <x:c r="N618" s="12" t="str">
        <x:v>Position and secure steel bars or mesh in concrete forms in order to reinforce concrete. Use a variety of fasteners, rod-bending machines, blowtorches, and hand tools. Includes rod busters.</x:v>
      </x:c>
      <x:c r="O618" s="12" t="str">
        <x:v>https://www.onetonline.org/link/summary/47-2171.00</x:v>
      </x:c>
      <x:c r="P618" s="12" t="str">
        <x:v>SOC47 construction and extraction occupations.</x:v>
      </x:c>
    </x:row>
    <x:row r="619" ht="37.5" customHeight="1">
      <x:c r="A619" s="15" t="str">
        <x:v>784010</x:v>
      </x:c>
      <x:c r="B619" s="12" t="str">
        <x:v>Construction and extraction occupations</x:v>
      </x:c>
      <x:c r="C619" s="35" t="str">
        <x:v>47-2181.00</x:v>
      </x:c>
      <x:c r="D619" s="12" t="str">
        <x:v>Roofers</x:v>
      </x:c>
      <x:c r="E619" s="2" t="str">
        <x:v>Include</x:v>
      </x:c>
      <x:c r="F619" s="2" t="str">
        <x:v>Yes</x:v>
      </x:c>
      <x:c r="G619" s="15" t="str">
        <x:v>6/6</x:v>
      </x:c>
      <x:c r="H619" s="18" t="n">
        <x:v>2.67</x:v>
      </x:c>
      <x:c r="I619" s="18" t="n">
        <x:v>3.33</x:v>
      </x:c>
      <x:c r="J619" s="18" t="n">
        <x:v>3</x:v>
      </x:c>
      <x:c r="K619" s="18" t="n">
        <x:v>3.33</x:v>
      </x:c>
      <x:c r="L619" s="18" t="n">
        <x:v>4.33</x:v>
      </x:c>
      <x:c r="M619" s="18" t="n">
        <x:v>3.67</x:v>
      </x:c>
      <x:c r="N619" s="12" t="str">
        <x:v>Cover roofs of structures with shingles, slate, asphalt, aluminum, wood, or related materials. May spray roofs, sidings, and walls with material to bind, seal, insulate, or soundproof sections of structures.</x:v>
      </x:c>
      <x:c r="O619" s="12" t="str">
        <x:v>https://www.onetonline.org/link/summary/47-2181.00</x:v>
      </x:c>
      <x:c r="P619" s="12" t="str">
        <x:v>SOC47 construction and extraction occupations.</x:v>
      </x:c>
    </x:row>
    <x:row r="620" ht="37.5" customHeight="1">
      <x:c r="A620" s="15" t="str">
        <x:v>784010</x:v>
      </x:c>
      <x:c r="B620" s="12" t="str">
        <x:v>Construction and extraction occupations</x:v>
      </x:c>
      <x:c r="C620" s="35" t="str">
        <x:v>47-2211.00</x:v>
      </x:c>
      <x:c r="D620" s="12" t="str">
        <x:v>Sheet Metal Workers</x:v>
      </x:c>
      <x:c r="E620" s="2" t="str">
        <x:v>Include</x:v>
      </x:c>
      <x:c r="F620" s="2" t="str">
        <x:v>Yes</x:v>
      </x:c>
      <x:c r="G620" s="15" t="str">
        <x:v>6/6</x:v>
      </x:c>
      <x:c r="H620" s="18" t="n">
        <x:v>3</x:v>
      </x:c>
      <x:c r="I620" s="18" t="n">
        <x:v>3.17</x:v>
      </x:c>
      <x:c r="J620" s="18" t="n">
        <x:v>2.33</x:v>
      </x:c>
      <x:c r="K620" s="18" t="n">
        <x:v>3.33</x:v>
      </x:c>
      <x:c r="L620" s="18" t="n">
        <x:v>5</x:v>
      </x:c>
      <x:c r="M620" s="18" t="n">
        <x:v>3.67</x:v>
      </x:c>
      <x:c r="N620" s="12" t="str">
        <x:v>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x:v>
      </x:c>
      <x:c r="O620" s="12" t="str">
        <x:v>https://www.onetonline.org/link/summary/47-2211.00</x:v>
      </x:c>
      <x:c r="P620" s="12" t="str">
        <x:v>SOC47 construction and extraction occupations.</x:v>
      </x:c>
    </x:row>
    <x:row r="621" ht="37.5" customHeight="1">
      <x:c r="A621" s="15" t="str">
        <x:v>784010</x:v>
      </x:c>
      <x:c r="B621" s="12" t="str">
        <x:v>Construction and extraction occupations</x:v>
      </x:c>
      <x:c r="C621" s="35" t="str">
        <x:v>47-2221.00</x:v>
      </x:c>
      <x:c r="D621" s="12" t="str">
        <x:v>Structural Iron and Steel Workers</x:v>
      </x:c>
      <x:c r="E621" s="2" t="str">
        <x:v>Include</x:v>
      </x:c>
      <x:c r="F621" s="2" t="str">
        <x:v>Yes</x:v>
      </x:c>
      <x:c r="G621" s="15" t="str">
        <x:v>6/6</x:v>
      </x:c>
      <x:c r="H621" s="18" t="n">
        <x:v>2.67</x:v>
      </x:c>
      <x:c r="I621" s="18" t="n">
        <x:v>3.17</x:v>
      </x:c>
      <x:c r="J621" s="18" t="n">
        <x:v>2.67</x:v>
      </x:c>
      <x:c r="K621" s="18" t="n">
        <x:v>4.67</x:v>
      </x:c>
      <x:c r="L621" s="18" t="n">
        <x:v>5.33</x:v>
      </x:c>
      <x:c r="M621" s="18" t="n">
        <x:v>3</x:v>
      </x:c>
      <x:c r="N621" s="12" t="str">
        <x:v>Raise, place, and unite iron or steel girders, columns, and other structural members to form completed structures or structural frameworks. May erect metal storage tanks and assemble prefabricated metal buildings.</x:v>
      </x:c>
      <x:c r="O621" s="12" t="str">
        <x:v>https://www.onetonline.org/link/summary/47-2221.00</x:v>
      </x:c>
      <x:c r="P621" s="12" t="str">
        <x:v>SOC47 construction and extraction occupations.</x:v>
      </x:c>
    </x:row>
    <x:row r="622" ht="37.5" customHeight="1">
      <x:c r="A622" s="15" t="str">
        <x:v>784010</x:v>
      </x:c>
      <x:c r="B622" s="12" t="str">
        <x:v>Construction and extraction occupations</x:v>
      </x:c>
      <x:c r="C622" s="35" t="str">
        <x:v>47-2231.00</x:v>
      </x:c>
      <x:c r="D622" s="12" t="str">
        <x:v>Solar Photovoltaic Installers</x:v>
      </x:c>
      <x:c r="E622" s="2" t="str">
        <x:v>Include</x:v>
      </x:c>
      <x:c r="F622" s="2" t="str">
        <x:v>Yes</x:v>
      </x:c>
      <x:c r="G622" s="15" t="str">
        <x:v>6/6</x:v>
      </x:c>
      <x:c r="H622" s="18" t="n">
        <x:v>4</x:v>
      </x:c>
      <x:c r="I622" s="18" t="n">
        <x:v>3.5</x:v>
      </x:c>
      <x:c r="J622" s="18" t="n">
        <x:v>3</x:v>
      </x:c>
      <x:c r="K622" s="18" t="n">
        <x:v>3</x:v>
      </x:c>
      <x:c r="L622" s="18" t="n">
        <x:v>4</x:v>
      </x:c>
      <x:c r="M622" s="18" t="n">
        <x:v>3.33</x:v>
      </x:c>
      <x:c r="N622" s="12" t="str">
        <x:v>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x:v>
      </x:c>
      <x:c r="O622" s="12" t="str">
        <x:v>https://www.onetonline.org/link/summary/47-2231.00</x:v>
      </x:c>
      <x:c r="P622" s="12" t="str">
        <x:v>SOC47 construction and extraction occupations.</x:v>
      </x:c>
    </x:row>
    <x:row r="623" ht="37.5" customHeight="1">
      <x:c r="A623" s="15" t="str">
        <x:v>784010</x:v>
      </x:c>
      <x:c r="B623" s="12" t="str">
        <x:v>Construction and extraction occupations</x:v>
      </x:c>
      <x:c r="C623" s="35" t="str">
        <x:v>47-3011.00</x:v>
      </x:c>
      <x:c r="D623" s="12" t="str">
        <x:v>Helpers--Brickmasons, Blockmasons, Stonemasons, and Tile and Marble Setters</x:v>
      </x:c>
      <x:c r="E623" s="2" t="str">
        <x:v>Include</x:v>
      </x:c>
      <x:c r="F623" s="2" t="str">
        <x:v>Yes</x:v>
      </x:c>
      <x:c r="G623" s="15" t="str">
        <x:v>6/6</x:v>
      </x:c>
      <x:c r="H623" s="18" t="n">
        <x:v>1.67</x:v>
      </x:c>
      <x:c r="I623" s="18" t="n">
        <x:v>2.83</x:v>
      </x:c>
      <x:c r="J623" s="18" t="n">
        <x:v>2</x:v>
      </x:c>
      <x:c r="K623" s="18" t="n">
        <x:v>4.67</x:v>
      </x:c>
      <x:c r="L623" s="18" t="n">
        <x:v>4.67</x:v>
      </x:c>
      <x:c r="M623" s="18" t="n">
        <x:v>2</x:v>
      </x:c>
      <x:c r="N623" s="12" t="str">
        <x:v>Help brickmasons, blockmasons, stonemasons, or tile and marble setters by performing duties requiring less skill. Duties include using, supplying, or holding materials or tools, and cleaning work area and equipment.</x:v>
      </x:c>
      <x:c r="O623" s="12" t="str">
        <x:v>https://www.onetonline.org/link/summary/47-3011.00</x:v>
      </x:c>
      <x:c r="P623" s="12" t="str">
        <x:v>SOC47 construction and extraction occupations.</x:v>
      </x:c>
    </x:row>
    <x:row r="624" ht="37.5" customHeight="1">
      <x:c r="A624" s="15" t="str">
        <x:v>784010</x:v>
      </x:c>
      <x:c r="B624" s="12" t="str">
        <x:v>Construction and extraction occupations</x:v>
      </x:c>
      <x:c r="C624" s="35" t="str">
        <x:v>47-3012.00</x:v>
      </x:c>
      <x:c r="D624" s="12" t="str">
        <x:v>Helpers--Carpenters</x:v>
      </x:c>
      <x:c r="E624" s="2" t="str">
        <x:v>Include</x:v>
      </x:c>
      <x:c r="F624" s="2" t="str">
        <x:v>Yes</x:v>
      </x:c>
      <x:c r="G624" s="15" t="str">
        <x:v>6/6</x:v>
      </x:c>
      <x:c r="H624" s="18" t="n">
        <x:v>2</x:v>
      </x:c>
      <x:c r="I624" s="18" t="n">
        <x:v>2.33</x:v>
      </x:c>
      <x:c r="J624" s="18" t="n">
        <x:v>2</x:v>
      </x:c>
      <x:c r="K624" s="18" t="n">
        <x:v>4.33</x:v>
      </x:c>
      <x:c r="L624" s="18" t="n">
        <x:v>3.33</x:v>
      </x:c>
      <x:c r="M624" s="18" t="n">
        <x:v>3</x:v>
      </x:c>
      <x:c r="N624" s="12" t="str">
        <x:v>Help carpenters by performing duties requiring less skill. Duties include using, supplying, or holding materials or tools, and cleaning work area and equipment.</x:v>
      </x:c>
      <x:c r="O624" s="12" t="str">
        <x:v>https://www.onetonline.org/link/summary/47-3012.00</x:v>
      </x:c>
      <x:c r="P624" s="12" t="str">
        <x:v>SOC47 construction and extraction occupations.</x:v>
      </x:c>
    </x:row>
    <x:row r="625" ht="37.5" customHeight="1">
      <x:c r="A625" s="15" t="str">
        <x:v>784010</x:v>
      </x:c>
      <x:c r="B625" s="12" t="str">
        <x:v>Construction and extraction occupations</x:v>
      </x:c>
      <x:c r="C625" s="35" t="str">
        <x:v>47-3013.00</x:v>
      </x:c>
      <x:c r="D625" s="12" t="str">
        <x:v>Helpers--Electricians</x:v>
      </x:c>
      <x:c r="E625" s="2" t="str">
        <x:v>Include</x:v>
      </x:c>
      <x:c r="F625" s="2" t="str">
        <x:v>Yes</x:v>
      </x:c>
      <x:c r="G625" s="15" t="str">
        <x:v>6/6</x:v>
      </x:c>
      <x:c r="H625" s="18" t="n">
        <x:v>2</x:v>
      </x:c>
      <x:c r="I625" s="18" t="n">
        <x:v>2.83</x:v>
      </x:c>
      <x:c r="J625" s="18" t="n">
        <x:v>2.33</x:v>
      </x:c>
      <x:c r="K625" s="18" t="n">
        <x:v>4.67</x:v>
      </x:c>
      <x:c r="L625" s="18" t="n">
        <x:v>5</x:v>
      </x:c>
      <x:c r="M625" s="18" t="n">
        <x:v>2.33</x:v>
      </x:c>
      <x:c r="N625" s="12" t="str">
        <x:v>Help electricians by performing duties requiring less skill. Duties include using, supplying, or holding materials or tools, and cleaning work area and equipment.</x:v>
      </x:c>
      <x:c r="O625" s="12" t="str">
        <x:v>https://www.onetonline.org/link/summary/47-3013.00</x:v>
      </x:c>
      <x:c r="P625" s="12" t="str">
        <x:v>SOC47 construction and extraction occupations.</x:v>
      </x:c>
    </x:row>
    <x:row r="626" ht="37.5" customHeight="1">
      <x:c r="A626" s="15" t="str">
        <x:v>784010</x:v>
      </x:c>
      <x:c r="B626" s="12" t="str">
        <x:v>Construction and extraction occupations</x:v>
      </x:c>
      <x:c r="C626" s="35" t="str">
        <x:v>47-3014.00</x:v>
      </x:c>
      <x:c r="D626" s="12" t="str">
        <x:v>Helpers--Painters, Paperhangers, Plasterers, and Stucco Masons</x:v>
      </x:c>
      <x:c r="E626" s="2" t="str">
        <x:v>Include</x:v>
      </x:c>
      <x:c r="F626" s="2" t="str">
        <x:v>Yes</x:v>
      </x:c>
      <x:c r="G626" s="15" t="str">
        <x:v>6/6</x:v>
      </x:c>
      <x:c r="H626" s="18" t="n">
        <x:v>2</x:v>
      </x:c>
      <x:c r="I626" s="18" t="n">
        <x:v>2.33</x:v>
      </x:c>
      <x:c r="J626" s="18" t="n">
        <x:v>1.67</x:v>
      </x:c>
      <x:c r="K626" s="18" t="n">
        <x:v>3.33</x:v>
      </x:c>
      <x:c r="L626" s="18" t="n">
        <x:v>3.33</x:v>
      </x:c>
      <x:c r="M626" s="18" t="n">
        <x:v>2.33</x:v>
      </x:c>
      <x:c r="N626" s="12" t="str">
        <x:v>Help painters, paperhangers, plasterers, or stucco masons by performing duties requiring less skill. Duties include using, supplying, or holding materials or tools, and cleaning work area and equipment.</x:v>
      </x:c>
      <x:c r="O626" s="12" t="str">
        <x:v>https://www.onetonline.org/link/summary/47-3014.00</x:v>
      </x:c>
      <x:c r="P626" s="12" t="str">
        <x:v>SOC47 construction and extraction occupations.</x:v>
      </x:c>
    </x:row>
    <x:row r="627" ht="37.5" customHeight="1">
      <x:c r="A627" s="15" t="str">
        <x:v>784010</x:v>
      </x:c>
      <x:c r="B627" s="12" t="str">
        <x:v>Construction and extraction occupations</x:v>
      </x:c>
      <x:c r="C627" s="35" t="str">
        <x:v>47-3015.00</x:v>
      </x:c>
      <x:c r="D627" s="12" t="str">
        <x:v>Helpers--Pipelayers, Plumbers, Pipefitters, and Steamfitters</x:v>
      </x:c>
      <x:c r="E627" s="2" t="str">
        <x:v>Include</x:v>
      </x:c>
      <x:c r="F627" s="2" t="str">
        <x:v>Yes</x:v>
      </x:c>
      <x:c r="G627" s="15" t="str">
        <x:v>6/6</x:v>
      </x:c>
      <x:c r="H627" s="18" t="n">
        <x:v>2.33</x:v>
      </x:c>
      <x:c r="I627" s="18" t="n">
        <x:v>2.5</x:v>
      </x:c>
      <x:c r="J627" s="18" t="n">
        <x:v>1.67</x:v>
      </x:c>
      <x:c r="K627" s="18" t="n">
        <x:v>3.67</x:v>
      </x:c>
      <x:c r="L627" s="18" t="n">
        <x:v>4.33</x:v>
      </x:c>
      <x:c r="M627" s="18" t="n">
        <x:v>3</x:v>
      </x:c>
      <x:c r="N627" s="12" t="str">
        <x:v>Help plumbers, pipefitters, steamfitters, or pipelayers by performing duties requiring less skill. Duties include using, supplying, or holding materials or tools, and cleaning work area and equipment.</x:v>
      </x:c>
      <x:c r="O627" s="12" t="str">
        <x:v>https://www.onetonline.org/link/summary/47-3015.00</x:v>
      </x:c>
      <x:c r="P627" s="12" t="str">
        <x:v>SOC47 construction and extraction occupations.</x:v>
      </x:c>
    </x:row>
    <x:row r="628" ht="37.5" customHeight="1">
      <x:c r="A628" s="15" t="str">
        <x:v>784010</x:v>
      </x:c>
      <x:c r="B628" s="12" t="str">
        <x:v>Construction and extraction occupations</x:v>
      </x:c>
      <x:c r="C628" s="35" t="str">
        <x:v>47-3016.00</x:v>
      </x:c>
      <x:c r="D628" s="12" t="str">
        <x:v>Helpers--Roofers</x:v>
      </x:c>
      <x:c r="E628" s="2" t="str">
        <x:v>Include</x:v>
      </x:c>
      <x:c r="F628" s="2" t="str">
        <x:v>Yes</x:v>
      </x:c>
      <x:c r="G628" s="15" t="str">
        <x:v>6/6</x:v>
      </x:c>
      <x:c r="H628" s="18" t="n">
        <x:v>2</x:v>
      </x:c>
      <x:c r="I628" s="18" t="n">
        <x:v>2.17</x:v>
      </x:c>
      <x:c r="J628" s="18" t="n">
        <x:v>2</x:v>
      </x:c>
      <x:c r="K628" s="18" t="n">
        <x:v>4.67</x:v>
      </x:c>
      <x:c r="L628" s="18" t="n">
        <x:v>4.33</x:v>
      </x:c>
      <x:c r="M628" s="18" t="n">
        <x:v>2</x:v>
      </x:c>
      <x:c r="N628" s="12" t="str">
        <x:v>Help roofers by performing duties requiring less skill. Duties include using, supplying, or holding materials or tools, and cleaning work area and equipment.</x:v>
      </x:c>
      <x:c r="O628" s="12" t="str">
        <x:v>https://www.onetonline.org/link/summary/47-3016.00</x:v>
      </x:c>
      <x:c r="P628" s="12" t="str">
        <x:v>SOC47 construction and extraction occupations.</x:v>
      </x:c>
    </x:row>
    <x:row r="629" ht="37.5" customHeight="1">
      <x:c r="A629" s="15" t="str">
        <x:v>784010</x:v>
      </x:c>
      <x:c r="B629" s="12" t="str">
        <x:v>Construction and extraction occupations</x:v>
      </x:c>
      <x:c r="C629" s="35" t="str">
        <x:v>47-3019.00</x:v>
      </x:c>
      <x:c r="D629" s="12" t="str">
        <x:v>Helpers, Construction Trades, All Other</x:v>
      </x:c>
      <x:c r="E629" s="2" t="str">
        <x:v>Exclude (no Work Values)</x:v>
      </x:c>
      <x:c r="F629" s="2" t="str">
        <x:v>Yes</x:v>
      </x:c>
      <x:c r="G629" s="15" t="str">
        <x:v>0/6</x:v>
      </x:c>
      <x:c r="H629" s="18"/>
      <x:c r="I629" s="18"/>
      <x:c r="J629" s="18"/>
      <x:c r="K629" s="18"/>
      <x:c r="L629" s="18"/>
      <x:c r="M629" s="18"/>
      <x:c r="N629" s="12" t="str">
        <x:v>All construction trades helpers not listed separately.</x:v>
      </x:c>
      <x:c r="O629" s="12" t="str">
        <x:v>https://www.onetonline.org/link/summary/47-3019.00</x:v>
      </x:c>
      <x:c r="P629" s="12" t="str">
        <x:v>SOC47 construction and extraction occupations.</x:v>
      </x:c>
    </x:row>
    <x:row r="630" ht="37.5" customHeight="1">
      <x:c r="A630" s="15" t="str">
        <x:v>784010</x:v>
      </x:c>
      <x:c r="B630" s="12" t="str">
        <x:v>Construction and extraction occupations</x:v>
      </x:c>
      <x:c r="C630" s="35" t="str">
        <x:v>47-4011.00</x:v>
      </x:c>
      <x:c r="D630" s="12" t="str">
        <x:v>Construction and Building Inspectors</x:v>
      </x:c>
      <x:c r="E630" s="2" t="str">
        <x:v>Include</x:v>
      </x:c>
      <x:c r="F630" s="2" t="str">
        <x:v>Yes</x:v>
      </x:c>
      <x:c r="G630" s="15" t="str">
        <x:v>6/6</x:v>
      </x:c>
      <x:c r="H630" s="18" t="n">
        <x:v>4.33</x:v>
      </x:c>
      <x:c r="I630" s="18" t="n">
        <x:v>4.5</x:v>
      </x:c>
      <x:c r="J630" s="18" t="n">
        <x:v>3.67</x:v>
      </x:c>
      <x:c r="K630" s="18" t="n">
        <x:v>4.33</x:v>
      </x:c>
      <x:c r="L630" s="18" t="n">
        <x:v>5.67</x:v>
      </x:c>
      <x:c r="M630" s="18" t="n">
        <x:v>5</x:v>
      </x:c>
      <x:c r="N630" s="12" t="str">
        <x:v>Inspect structures using engineering skills to determine structural soundness and compliance with specifications, building codes, and other regulations. Inspections may be general in nature or may be limited to a specific area, such as electrical systems or plumbing.</x:v>
      </x:c>
      <x:c r="O630" s="12" t="str">
        <x:v>https://www.onetonline.org/link/summary/47-4011.00</x:v>
      </x:c>
      <x:c r="P630" s="12" t="str">
        <x:v>SOC47 construction and extraction occupations.</x:v>
      </x:c>
    </x:row>
    <x:row r="631" ht="37.5" customHeight="1">
      <x:c r="A631" s="15" t="str">
        <x:v>784010</x:v>
      </x:c>
      <x:c r="B631" s="12" t="str">
        <x:v>Construction and extraction occupations</x:v>
      </x:c>
      <x:c r="C631" s="35" t="str">
        <x:v>47-4021.00</x:v>
      </x:c>
      <x:c r="D631" s="12" t="str">
        <x:v>Elevator and Escalator Installers and Repairers</x:v>
      </x:c>
      <x:c r="E631" s="2" t="str">
        <x:v>Include</x:v>
      </x:c>
      <x:c r="F631" s="2" t="str">
        <x:v>Yes</x:v>
      </x:c>
      <x:c r="G631" s="15" t="str">
        <x:v>6/6</x:v>
      </x:c>
      <x:c r="H631" s="18" t="n">
        <x:v>3.67</x:v>
      </x:c>
      <x:c r="I631" s="18" t="n">
        <x:v>4.83</x:v>
      </x:c>
      <x:c r="J631" s="18" t="n">
        <x:v>3.33</x:v>
      </x:c>
      <x:c r="K631" s="18" t="n">
        <x:v>4.33</x:v>
      </x:c>
      <x:c r="L631" s="18" t="n">
        <x:v>6</x:v>
      </x:c>
      <x:c r="M631" s="18" t="n">
        <x:v>4.67</x:v>
      </x:c>
      <x:c r="N631" s="12" t="str">
        <x:v>Assemble, install, repair, or maintain electric or hydraulic freight or passenger elevators, escalators, or dumbwaiters.</x:v>
      </x:c>
      <x:c r="O631" s="12" t="str">
        <x:v>https://www.onetonline.org/link/summary/47-4021.00</x:v>
      </x:c>
      <x:c r="P631" s="12" t="str">
        <x:v>SOC47 construction and extraction occupations.</x:v>
      </x:c>
    </x:row>
    <x:row r="632" ht="37.5" customHeight="1">
      <x:c r="A632" s="15" t="str">
        <x:v>784010</x:v>
      </x:c>
      <x:c r="B632" s="12" t="str">
        <x:v>Construction and extraction occupations</x:v>
      </x:c>
      <x:c r="C632" s="35" t="str">
        <x:v>47-4031.00</x:v>
      </x:c>
      <x:c r="D632" s="12" t="str">
        <x:v>Fence Erectors</x:v>
      </x:c>
      <x:c r="E632" s="2" t="str">
        <x:v>Include</x:v>
      </x:c>
      <x:c r="F632" s="2" t="str">
        <x:v>Yes</x:v>
      </x:c>
      <x:c r="G632" s="15" t="str">
        <x:v>6/6</x:v>
      </x:c>
      <x:c r="H632" s="18" t="n">
        <x:v>2</x:v>
      </x:c>
      <x:c r="I632" s="18" t="n">
        <x:v>2.67</x:v>
      </x:c>
      <x:c r="J632" s="18" t="n">
        <x:v>2</x:v>
      </x:c>
      <x:c r="K632" s="18" t="n">
        <x:v>3.67</x:v>
      </x:c>
      <x:c r="L632" s="18" t="n">
        <x:v>3.67</x:v>
      </x:c>
      <x:c r="M632" s="18" t="n">
        <x:v>2.67</x:v>
      </x:c>
      <x:c r="N632" s="12" t="str">
        <x:v>Erect and repair fences and fence gates, using hand and power tools.</x:v>
      </x:c>
      <x:c r="O632" s="12" t="str">
        <x:v>https://www.onetonline.org/link/summary/47-4031.00</x:v>
      </x:c>
      <x:c r="P632" s="12" t="str">
        <x:v>SOC47 construction and extraction occupations.</x:v>
      </x:c>
    </x:row>
    <x:row r="633" ht="37.5" customHeight="1">
      <x:c r="A633" s="15" t="str">
        <x:v>784010</x:v>
      </x:c>
      <x:c r="B633" s="12" t="str">
        <x:v>Construction and extraction occupations</x:v>
      </x:c>
      <x:c r="C633" s="35" t="str">
        <x:v>47-4041.00</x:v>
      </x:c>
      <x:c r="D633" s="12" t="str">
        <x:v>Hazardous Materials Removal Workers</x:v>
      </x:c>
      <x:c r="E633" s="2" t="str">
        <x:v>Include</x:v>
      </x:c>
      <x:c r="F633" s="2" t="str">
        <x:v>Yes</x:v>
      </x:c>
      <x:c r="G633" s="15" t="str">
        <x:v>6/6</x:v>
      </x:c>
      <x:c r="H633" s="18" t="n">
        <x:v>2.67</x:v>
      </x:c>
      <x:c r="I633" s="18" t="n">
        <x:v>3.17</x:v>
      </x:c>
      <x:c r="J633" s="18" t="n">
        <x:v>2.33</x:v>
      </x:c>
      <x:c r="K633" s="18" t="n">
        <x:v>3.67</x:v>
      </x:c>
      <x:c r="L633" s="18" t="n">
        <x:v>6.33</x:v>
      </x:c>
      <x:c r="M633" s="18" t="n">
        <x:v>3.67</x:v>
      </x:c>
      <x:c r="N633" s="12" t="str">
        <x:v>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x:v>
      </x:c>
      <x:c r="O633" s="12" t="str">
        <x:v>https://www.onetonline.org/link/summary/47-4041.00</x:v>
      </x:c>
      <x:c r="P633" s="12" t="str">
        <x:v>SOC47 construction and extraction occupations.</x:v>
      </x:c>
    </x:row>
    <x:row r="634" ht="37.5" customHeight="1">
      <x:c r="A634" s="15" t="str">
        <x:v>784010</x:v>
      </x:c>
      <x:c r="B634" s="12" t="str">
        <x:v>Construction and extraction occupations</x:v>
      </x:c>
      <x:c r="C634" s="35" t="str">
        <x:v>47-4051.00</x:v>
      </x:c>
      <x:c r="D634" s="12" t="str">
        <x:v>Highway Maintenance Workers</x:v>
      </x:c>
      <x:c r="E634" s="2" t="str">
        <x:v>Include</x:v>
      </x:c>
      <x:c r="F634" s="2" t="str">
        <x:v>Yes</x:v>
      </x:c>
      <x:c r="G634" s="15" t="str">
        <x:v>6/6</x:v>
      </x:c>
      <x:c r="H634" s="18" t="n">
        <x:v>2</x:v>
      </x:c>
      <x:c r="I634" s="18" t="n">
        <x:v>2.83</x:v>
      </x:c>
      <x:c r="J634" s="18" t="n">
        <x:v>2</x:v>
      </x:c>
      <x:c r="K634" s="18" t="n">
        <x:v>4</x:v>
      </x:c>
      <x:c r="L634" s="18" t="n">
        <x:v>4.33</x:v>
      </x:c>
      <x:c r="M634" s="18" t="n">
        <x:v>2.67</x:v>
      </x:c>
      <x:c r="N634" s="12" t="str">
        <x:v>Maintain highways, municipal and rural roads, airport runways, and rights-of-way. Duties include patching broken or eroded pavement and repairing guard rails, highway markers, and snow fences. May also mow or clear brush from along road, or plow snow from roadway.</x:v>
      </x:c>
      <x:c r="O634" s="12" t="str">
        <x:v>https://www.onetonline.org/link/summary/47-4051.00</x:v>
      </x:c>
      <x:c r="P634" s="12" t="str">
        <x:v>SOC47 construction and extraction occupations.</x:v>
      </x:c>
    </x:row>
    <x:row r="635" ht="37.5" customHeight="1">
      <x:c r="A635" s="15" t="str">
        <x:v>784010</x:v>
      </x:c>
      <x:c r="B635" s="12" t="str">
        <x:v>Construction and extraction occupations</x:v>
      </x:c>
      <x:c r="C635" s="35" t="str">
        <x:v>47-4061.00</x:v>
      </x:c>
      <x:c r="D635" s="12" t="str">
        <x:v>Rail-Track Laying and Maintenance Equipment Operators</x:v>
      </x:c>
      <x:c r="E635" s="2" t="str">
        <x:v>Include</x:v>
      </x:c>
      <x:c r="F635" s="2" t="str">
        <x:v>Yes</x:v>
      </x:c>
      <x:c r="G635" s="15" t="str">
        <x:v>6/6</x:v>
      </x:c>
      <x:c r="H635" s="18" t="n">
        <x:v>2.67</x:v>
      </x:c>
      <x:c r="I635" s="18" t="n">
        <x:v>3.33</x:v>
      </x:c>
      <x:c r="J635" s="18" t="n">
        <x:v>2.33</x:v>
      </x:c>
      <x:c r="K635" s="18" t="n">
        <x:v>3.67</x:v>
      </x:c>
      <x:c r="L635" s="18" t="n">
        <x:v>4.67</x:v>
      </x:c>
      <x:c r="M635" s="18" t="n">
        <x:v>3.33</x:v>
      </x:c>
      <x:c r="N635" s="12" t="str">
        <x:v>Lay, repair, and maintain track for standard or narrow-gauge railroad equipment used in regular railroad service or in plant yards, quarries, sand and gravel pits, and mines. Includes ballast cleaning machine operators and railroad bed tamping machine operators.</x:v>
      </x:c>
      <x:c r="O635" s="12" t="str">
        <x:v>https://www.onetonline.org/link/summary/47-4061.00</x:v>
      </x:c>
      <x:c r="P635" s="12" t="str">
        <x:v>SOC47 construction and extraction occupations.</x:v>
      </x:c>
    </x:row>
    <x:row r="636" ht="37.5" customHeight="1">
      <x:c r="A636" s="15" t="str">
        <x:v>784010</x:v>
      </x:c>
      <x:c r="B636" s="12" t="str">
        <x:v>Construction and extraction occupations</x:v>
      </x:c>
      <x:c r="C636" s="35" t="str">
        <x:v>47-4071.00</x:v>
      </x:c>
      <x:c r="D636" s="12" t="str">
        <x:v>Septic Tank Servicers and Sewer Pipe Cleaners</x:v>
      </x:c>
      <x:c r="E636" s="2" t="str">
        <x:v>Include</x:v>
      </x:c>
      <x:c r="F636" s="2" t="str">
        <x:v>Yes</x:v>
      </x:c>
      <x:c r="G636" s="15" t="str">
        <x:v>6/6</x:v>
      </x:c>
      <x:c r="H636" s="18" t="n">
        <x:v>2.33</x:v>
      </x:c>
      <x:c r="I636" s="18" t="n">
        <x:v>2.67</x:v>
      </x:c>
      <x:c r="J636" s="18" t="n">
        <x:v>2</x:v>
      </x:c>
      <x:c r="K636" s="18" t="n">
        <x:v>4.33</x:v>
      </x:c>
      <x:c r="L636" s="18" t="n">
        <x:v>4.33</x:v>
      </x:c>
      <x:c r="M636" s="18" t="n">
        <x:v>3.33</x:v>
      </x:c>
      <x:c r="N636" s="12" t="str">
        <x:v>Clean and repair septic tanks, sewer lines, or drains. May patch walls and partitions of tank, replace damaged drain tile, or repair breaks in underground piping.</x:v>
      </x:c>
      <x:c r="O636" s="12" t="str">
        <x:v>https://www.onetonline.org/link/summary/47-4071.00</x:v>
      </x:c>
      <x:c r="P636" s="12" t="str">
        <x:v>SOC47 construction and extraction occupations.</x:v>
      </x:c>
    </x:row>
    <x:row r="637" ht="37.5" customHeight="1">
      <x:c r="A637" s="15" t="str">
        <x:v>784010</x:v>
      </x:c>
      <x:c r="B637" s="12" t="str">
        <x:v>Construction and extraction occupations</x:v>
      </x:c>
      <x:c r="C637" s="35" t="str">
        <x:v>47-4091.00</x:v>
      </x:c>
      <x:c r="D637" s="12" t="str">
        <x:v>Segmental Pavers</x:v>
      </x:c>
      <x:c r="E637" s="2" t="str">
        <x:v>Include</x:v>
      </x:c>
      <x:c r="F637" s="2" t="str">
        <x:v>Yes</x:v>
      </x:c>
      <x:c r="G637" s="15" t="str">
        <x:v>6/6</x:v>
      </x:c>
      <x:c r="H637" s="18" t="n">
        <x:v>2.33</x:v>
      </x:c>
      <x:c r="I637" s="18" t="n">
        <x:v>2.83</x:v>
      </x:c>
      <x:c r="J637" s="18" t="n">
        <x:v>2.33</x:v>
      </x:c>
      <x:c r="K637" s="18" t="n">
        <x:v>4.33</x:v>
      </x:c>
      <x:c r="L637" s="18" t="n">
        <x:v>4.67</x:v>
      </x:c>
      <x:c r="M637" s="18" t="n">
        <x:v>4</x:v>
      </x:c>
      <x:c r="N637" s="12" t="str">
        <x:v>Lay out, cut, and place segmental paving units. Includes installers of bedding and restraining materials for the paving units.</x:v>
      </x:c>
      <x:c r="O637" s="12" t="str">
        <x:v>https://www.onetonline.org/link/summary/47-4091.00</x:v>
      </x:c>
      <x:c r="P637" s="12" t="str">
        <x:v>SOC47 construction and extraction occupations.</x:v>
      </x:c>
    </x:row>
    <x:row r="638" ht="37.5" customHeight="1">
      <x:c r="A638" s="15" t="str">
        <x:v>784010</x:v>
      </x:c>
      <x:c r="B638" s="12" t="str">
        <x:v>Construction and extraction occupations</x:v>
      </x:c>
      <x:c r="C638" s="35" t="str">
        <x:v>47-4099.00</x:v>
      </x:c>
      <x:c r="D638" s="12" t="str">
        <x:v>Construction and Related Workers, All Other</x:v>
      </x:c>
      <x:c r="E638" s="2" t="str">
        <x:v>Exclude (no Work Values)</x:v>
      </x:c>
      <x:c r="F638" s="2" t="str">
        <x:v>Yes</x:v>
      </x:c>
      <x:c r="G638" s="15" t="str">
        <x:v>0/6</x:v>
      </x:c>
      <x:c r="H638" s="18"/>
      <x:c r="I638" s="18"/>
      <x:c r="J638" s="18"/>
      <x:c r="K638" s="18"/>
      <x:c r="L638" s="18"/>
      <x:c r="M638" s="18"/>
      <x:c r="N638" s="12" t="str">
        <x:v>All construction and related workers not listed separately.</x:v>
      </x:c>
      <x:c r="O638" s="12" t="str">
        <x:v>https://www.onetonline.org/link/summary/47-4099.00</x:v>
      </x:c>
      <x:c r="P638" s="12" t="str">
        <x:v>SOC47 construction and extraction occupations.</x:v>
      </x:c>
    </x:row>
    <x:row r="639" ht="37.5" customHeight="1">
      <x:c r="A639" s="15" t="str">
        <x:v>784010</x:v>
      </x:c>
      <x:c r="B639" s="12" t="str">
        <x:v>Construction and extraction occupations</x:v>
      </x:c>
      <x:c r="C639" s="35" t="str">
        <x:v>47-5011.00</x:v>
      </x:c>
      <x:c r="D639" s="12" t="str">
        <x:v>Derrick Operators, Oil and Gas</x:v>
      </x:c>
      <x:c r="E639" s="2" t="str">
        <x:v>Include</x:v>
      </x:c>
      <x:c r="F639" s="2" t="str">
        <x:v>Yes</x:v>
      </x:c>
      <x:c r="G639" s="15" t="str">
        <x:v>6/6</x:v>
      </x:c>
      <x:c r="H639" s="18" t="n">
        <x:v>2.33</x:v>
      </x:c>
      <x:c r="I639" s="18" t="n">
        <x:v>3</x:v>
      </x:c>
      <x:c r="J639" s="18" t="n">
        <x:v>2.33</x:v>
      </x:c>
      <x:c r="K639" s="18" t="n">
        <x:v>4.67</x:v>
      </x:c>
      <x:c r="L639" s="18" t="n">
        <x:v>5.67</x:v>
      </x:c>
      <x:c r="M639" s="18" t="n">
        <x:v>3</x:v>
      </x:c>
      <x:c r="N639" s="12" t="str">
        <x:v>Rig derrick equipment and operate pumps to circulate mud or fluid through drill hole.</x:v>
      </x:c>
      <x:c r="O639" s="12" t="str">
        <x:v>https://www.onetonline.org/link/summary/47-5011.00</x:v>
      </x:c>
      <x:c r="P639" s="12" t="str">
        <x:v>SOC47 construction and extraction occupations.</x:v>
      </x:c>
    </x:row>
    <x:row r="640" ht="37.5" customHeight="1">
      <x:c r="A640" s="15" t="str">
        <x:v>784010</x:v>
      </x:c>
      <x:c r="B640" s="12" t="str">
        <x:v>Construction and extraction occupations</x:v>
      </x:c>
      <x:c r="C640" s="35" t="str">
        <x:v>47-5012.00</x:v>
      </x:c>
      <x:c r="D640" s="12" t="str">
        <x:v>Rotary Drill Operators, Oil and Gas</x:v>
      </x:c>
      <x:c r="E640" s="2" t="str">
        <x:v>Include</x:v>
      </x:c>
      <x:c r="F640" s="2" t="str">
        <x:v>Yes</x:v>
      </x:c>
      <x:c r="G640" s="15" t="str">
        <x:v>6/6</x:v>
      </x:c>
      <x:c r="H640" s="18" t="n">
        <x:v>2.67</x:v>
      </x:c>
      <x:c r="I640" s="18" t="n">
        <x:v>3.33</x:v>
      </x:c>
      <x:c r="J640" s="18" t="n">
        <x:v>3</x:v>
      </x:c>
      <x:c r="K640" s="18" t="n">
        <x:v>4.33</x:v>
      </x:c>
      <x:c r="L640" s="18" t="n">
        <x:v>6</x:v>
      </x:c>
      <x:c r="M640" s="18" t="n">
        <x:v>3.33</x:v>
      </x:c>
      <x:c r="N640" s="12" t="str">
        <x:v>Set up or operate a variety of drills to remove underground oil and gas, or remove core samples for testing during oil and gas exploration.</x:v>
      </x:c>
      <x:c r="O640" s="12" t="str">
        <x:v>https://www.onetonline.org/link/summary/47-5012.00</x:v>
      </x:c>
      <x:c r="P640" s="12" t="str">
        <x:v>SOC47 construction and extraction occupations.</x:v>
      </x:c>
    </x:row>
    <x:row r="641" ht="37.5" customHeight="1">
      <x:c r="A641" s="15" t="str">
        <x:v>784010</x:v>
      </x:c>
      <x:c r="B641" s="12" t="str">
        <x:v>Construction and extraction occupations</x:v>
      </x:c>
      <x:c r="C641" s="35" t="str">
        <x:v>47-5013.00</x:v>
      </x:c>
      <x:c r="D641" s="12" t="str">
        <x:v>Service Unit Operators, Oil and Gas</x:v>
      </x:c>
      <x:c r="E641" s="2" t="str">
        <x:v>Include</x:v>
      </x:c>
      <x:c r="F641" s="2" t="str">
        <x:v>Yes</x:v>
      </x:c>
      <x:c r="G641" s="15" t="str">
        <x:v>6/6</x:v>
      </x:c>
      <x:c r="H641" s="18" t="n">
        <x:v>2.67</x:v>
      </x:c>
      <x:c r="I641" s="18" t="n">
        <x:v>3.17</x:v>
      </x:c>
      <x:c r="J641" s="18" t="n">
        <x:v>2.33</x:v>
      </x:c>
      <x:c r="K641" s="18" t="n">
        <x:v>4.33</x:v>
      </x:c>
      <x:c r="L641" s="18" t="n">
        <x:v>5.67</x:v>
      </x:c>
      <x:c r="M641" s="18" t="n">
        <x:v>3.67</x:v>
      </x:c>
      <x:c r="N641" s="12" t="str">
        <x:v>Operate equipment to increase oil flow from producing wells or to remove stuck pipe, casing, tools, or other obstructions from drilling wells. Includes fishing-tool technicians.</x:v>
      </x:c>
      <x:c r="O641" s="12" t="str">
        <x:v>https://www.onetonline.org/link/summary/47-5013.00</x:v>
      </x:c>
      <x:c r="P641" s="12" t="str">
        <x:v>SOC47 construction and extraction occupations.</x:v>
      </x:c>
    </x:row>
    <x:row r="642" ht="37.5" customHeight="1">
      <x:c r="A642" s="15" t="str">
        <x:v>784010</x:v>
      </x:c>
      <x:c r="B642" s="12" t="str">
        <x:v>Construction and extraction occupations</x:v>
      </x:c>
      <x:c r="C642" s="35" t="str">
        <x:v>47-5022.00</x:v>
      </x:c>
      <x:c r="D642" s="12" t="str">
        <x:v>Excavating and Loading Machine and Dragline Operators, Surface Mining</x:v>
      </x:c>
      <x:c r="E642" s="2" t="str">
        <x:v>Include</x:v>
      </x:c>
      <x:c r="F642" s="2" t="str">
        <x:v>Yes</x:v>
      </x:c>
      <x:c r="G642" s="15" t="str">
        <x:v>6/6</x:v>
      </x:c>
      <x:c r="H642" s="18" t="n">
        <x:v>2.33</x:v>
      </x:c>
      <x:c r="I642" s="18" t="n">
        <x:v>3</x:v>
      </x:c>
      <x:c r="J642" s="18" t="n">
        <x:v>2</x:v>
      </x:c>
      <x:c r="K642" s="18" t="n">
        <x:v>3.33</x:v>
      </x:c>
      <x:c r="L642" s="18" t="n">
        <x:v>4.67</x:v>
      </x:c>
      <x:c r="M642" s="18" t="n">
        <x:v>4</x:v>
      </x:c>
      <x:c r="N642" s="12" t="str">
        <x:v>Operate or tend machinery at surface mining site, equipped with scoops, shovels, or buckets to excavate and load loose materials.</x:v>
      </x:c>
      <x:c r="O642" s="12" t="str">
        <x:v>https://www.onetonline.org/link/summary/47-5022.00</x:v>
      </x:c>
      <x:c r="P642" s="12" t="str">
        <x:v>SOC47 construction and extraction occupations.</x:v>
      </x:c>
    </x:row>
    <x:row r="643" ht="37.5" customHeight="1">
      <x:c r="A643" s="15" t="str">
        <x:v>784010</x:v>
      </x:c>
      <x:c r="B643" s="12" t="str">
        <x:v>Construction and extraction occupations</x:v>
      </x:c>
      <x:c r="C643" s="35" t="str">
        <x:v>47-5023.00</x:v>
      </x:c>
      <x:c r="D643" s="12" t="str">
        <x:v>Earth Drillers, Except Oil and Gas</x:v>
      </x:c>
      <x:c r="E643" s="2" t="str">
        <x:v>Include</x:v>
      </x:c>
      <x:c r="F643" s="2" t="str">
        <x:v>Yes</x:v>
      </x:c>
      <x:c r="G643" s="15" t="str">
        <x:v>6/6</x:v>
      </x:c>
      <x:c r="H643" s="18" t="n">
        <x:v>3</x:v>
      </x:c>
      <x:c r="I643" s="18" t="n">
        <x:v>3.17</x:v>
      </x:c>
      <x:c r="J643" s="18" t="n">
        <x:v>2.33</x:v>
      </x:c>
      <x:c r="K643" s="18" t="n">
        <x:v>3</x:v>
      </x:c>
      <x:c r="L643" s="18" t="n">
        <x:v>5</x:v>
      </x:c>
      <x:c r="M643" s="18" t="n">
        <x:v>4</x:v>
      </x:c>
      <x:c r="N643" s="12" t="str">
        <x:v>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x:v>
      </x:c>
      <x:c r="O643" s="12" t="str">
        <x:v>https://www.onetonline.org/link/summary/47-5023.00</x:v>
      </x:c>
      <x:c r="P643" s="12" t="str">
        <x:v>SOC47 construction and extraction occupations.</x:v>
      </x:c>
    </x:row>
    <x:row r="644" ht="37.5" customHeight="1">
      <x:c r="A644" s="15" t="str">
        <x:v>784010</x:v>
      </x:c>
      <x:c r="B644" s="12" t="str">
        <x:v>Construction and extraction occupations</x:v>
      </x:c>
      <x:c r="C644" s="35" t="str">
        <x:v>47-5032.00</x:v>
      </x:c>
      <x:c r="D644" s="12" t="str">
        <x:v>Explosives Workers, Ordnance Handling Experts, and Blasters</x:v>
      </x:c>
      <x:c r="E644" s="2" t="str">
        <x:v>Include</x:v>
      </x:c>
      <x:c r="F644" s="2" t="str">
        <x:v>Yes</x:v>
      </x:c>
      <x:c r="G644" s="15" t="str">
        <x:v>6/6</x:v>
      </x:c>
      <x:c r="H644" s="18" t="n">
        <x:v>3.67</x:v>
      </x:c>
      <x:c r="I644" s="18" t="n">
        <x:v>3.67</x:v>
      </x:c>
      <x:c r="J644" s="18" t="n">
        <x:v>2.67</x:v>
      </x:c>
      <x:c r="K644" s="18" t="n">
        <x:v>3.67</x:v>
      </x:c>
      <x:c r="L644" s="18" t="n">
        <x:v>6.67</x:v>
      </x:c>
      <x:c r="M644" s="18" t="n">
        <x:v>4.33</x:v>
      </x:c>
      <x:c r="N644" s="12" t="str">
        <x:v>Place and detonate explosives to demolish structures or to loosen, remove, or displace earth, rock, or other materials. May perform specialized handling, storage, and accounting procedures.</x:v>
      </x:c>
      <x:c r="O644" s="12" t="str">
        <x:v>https://www.onetonline.org/link/summary/47-5032.00</x:v>
      </x:c>
      <x:c r="P644" s="12" t="str">
        <x:v>SOC47 construction and extraction occupations.</x:v>
      </x:c>
    </x:row>
    <x:row r="645" ht="37.5" customHeight="1">
      <x:c r="A645" s="15" t="str">
        <x:v>784010</x:v>
      </x:c>
      <x:c r="B645" s="12" t="str">
        <x:v>Construction and extraction occupations</x:v>
      </x:c>
      <x:c r="C645" s="35" t="str">
        <x:v>47-5041.00</x:v>
      </x:c>
      <x:c r="D645" s="12" t="str">
        <x:v>Continuous Mining Machine Operators</x:v>
      </x:c>
      <x:c r="E645" s="2" t="str">
        <x:v>Include</x:v>
      </x:c>
      <x:c r="F645" s="2" t="str">
        <x:v>Yes</x:v>
      </x:c>
      <x:c r="G645" s="15" t="str">
        <x:v>6/6</x:v>
      </x:c>
      <x:c r="H645" s="18" t="n">
        <x:v>2</x:v>
      </x:c>
      <x:c r="I645" s="18" t="n">
        <x:v>3.33</x:v>
      </x:c>
      <x:c r="J645" s="18" t="n">
        <x:v>2</x:v>
      </x:c>
      <x:c r="K645" s="18" t="n">
        <x:v>3.67</x:v>
      </x:c>
      <x:c r="L645" s="18" t="n">
        <x:v>5.33</x:v>
      </x:c>
      <x:c r="M645" s="18" t="n">
        <x:v>2</x:v>
      </x:c>
      <x:c r="N645" s="12" t="str">
        <x:v>Operate self-propelled mining machines that rip coal, metal and nonmetal ores, rock, stone, or sand from the mine face and load it onto conveyors, shuttle cars, or trucks in a continuous operation.</x:v>
      </x:c>
      <x:c r="O645" s="12" t="str">
        <x:v>https://www.onetonline.org/link/summary/47-5041.00</x:v>
      </x:c>
      <x:c r="P645" s="12" t="str">
        <x:v>SOC47 construction and extraction occupations.</x:v>
      </x:c>
    </x:row>
    <x:row r="646" ht="37.5" customHeight="1">
      <x:c r="A646" s="15" t="str">
        <x:v>784010</x:v>
      </x:c>
      <x:c r="B646" s="12" t="str">
        <x:v>Construction and extraction occupations</x:v>
      </x:c>
      <x:c r="C646" s="35" t="str">
        <x:v>47-5043.00</x:v>
      </x:c>
      <x:c r="D646" s="12" t="str">
        <x:v>Roof Bolters, Mining</x:v>
      </x:c>
      <x:c r="E646" s="2" t="str">
        <x:v>Include</x:v>
      </x:c>
      <x:c r="F646" s="2" t="str">
        <x:v>Yes</x:v>
      </x:c>
      <x:c r="G646" s="15" t="str">
        <x:v>6/6</x:v>
      </x:c>
      <x:c r="H646" s="18" t="n">
        <x:v>3</x:v>
      </x:c>
      <x:c r="I646" s="18" t="n">
        <x:v>3</x:v>
      </x:c>
      <x:c r="J646" s="18" t="n">
        <x:v>2.33</x:v>
      </x:c>
      <x:c r="K646" s="18" t="n">
        <x:v>4.67</x:v>
      </x:c>
      <x:c r="L646" s="18" t="n">
        <x:v>6</x:v>
      </x:c>
      <x:c r="M646" s="18" t="n">
        <x:v>2.67</x:v>
      </x:c>
      <x:c r="N646" s="12" t="str">
        <x:v>Operate machinery to install roof support bolts in underground mine.</x:v>
      </x:c>
      <x:c r="O646" s="12" t="str">
        <x:v>https://www.onetonline.org/link/summary/47-5043.00</x:v>
      </x:c>
      <x:c r="P646" s="12" t="str">
        <x:v>SOC47 construction and extraction occupations.</x:v>
      </x:c>
    </x:row>
    <x:row r="647" ht="37.5" customHeight="1">
      <x:c r="A647" s="15" t="str">
        <x:v>784010</x:v>
      </x:c>
      <x:c r="B647" s="12" t="str">
        <x:v>Construction and extraction occupations</x:v>
      </x:c>
      <x:c r="C647" s="35" t="str">
        <x:v>47-5044.00</x:v>
      </x:c>
      <x:c r="D647" s="12" t="str">
        <x:v>Loading and Moving Machine Operators, Underground Mining</x:v>
      </x:c>
      <x:c r="E647" s="2" t="str">
        <x:v>Include</x:v>
      </x:c>
      <x:c r="F647" s="2" t="str">
        <x:v>Yes</x:v>
      </x:c>
      <x:c r="G647" s="15" t="str">
        <x:v>6/6</x:v>
      </x:c>
      <x:c r="H647" s="18" t="n">
        <x:v>1.67</x:v>
      </x:c>
      <x:c r="I647" s="18" t="n">
        <x:v>3.17</x:v>
      </x:c>
      <x:c r="J647" s="18" t="n">
        <x:v>2</x:v>
      </x:c>
      <x:c r="K647" s="18" t="n">
        <x:v>2.33</x:v>
      </x:c>
      <x:c r="L647" s="18" t="n">
        <x:v>5.67</x:v>
      </x:c>
      <x:c r="M647" s="18" t="n">
        <x:v>2.33</x:v>
      </x:c>
      <x:c r="N647" s="12" t="str">
        <x:v>Operate underground loading or moving machine to load or move coal, ore, or rock using shuttle or mine car or conveyors. Equipment may include power shovels, hoisting engines equipped with cable-drawn scraper or scoop, or machines equipped with gathering arms and conveyor.</x:v>
      </x:c>
      <x:c r="O647" s="12" t="str">
        <x:v>https://www.onetonline.org/link/summary/47-5044.00</x:v>
      </x:c>
      <x:c r="P647" s="12" t="str">
        <x:v>SOC47 construction and extraction occupations.</x:v>
      </x:c>
    </x:row>
    <x:row r="648" ht="37.5" customHeight="1">
      <x:c r="A648" s="15" t="str">
        <x:v>784010</x:v>
      </x:c>
      <x:c r="B648" s="12" t="str">
        <x:v>Construction and extraction occupations</x:v>
      </x:c>
      <x:c r="C648" s="35" t="str">
        <x:v>47-5049.00</x:v>
      </x:c>
      <x:c r="D648" s="12" t="str">
        <x:v>Underground Mining Machine Operators, All Other</x:v>
      </x:c>
      <x:c r="E648" s="2" t="str">
        <x:v>Exclude (no Work Values)</x:v>
      </x:c>
      <x:c r="F648" s="2" t="str">
        <x:v>Yes</x:v>
      </x:c>
      <x:c r="G648" s="15" t="str">
        <x:v>0/6</x:v>
      </x:c>
      <x:c r="H648" s="18"/>
      <x:c r="I648" s="18"/>
      <x:c r="J648" s="18"/>
      <x:c r="K648" s="18"/>
      <x:c r="L648" s="18"/>
      <x:c r="M648" s="18"/>
      <x:c r="N648" s="12" t="str">
        <x:v>All underground mining machine operators not listed separately.</x:v>
      </x:c>
      <x:c r="O648" s="12" t="str">
        <x:v>https://www.onetonline.org/link/summary/47-5049.00</x:v>
      </x:c>
      <x:c r="P648" s="12" t="str">
        <x:v>SOC47 construction and extraction occupations.</x:v>
      </x:c>
    </x:row>
    <x:row r="649" ht="37.5" customHeight="1">
      <x:c r="A649" s="15" t="str">
        <x:v>784010</x:v>
      </x:c>
      <x:c r="B649" s="12" t="str">
        <x:v>Construction and extraction occupations</x:v>
      </x:c>
      <x:c r="C649" s="35" t="str">
        <x:v>47-5051.00</x:v>
      </x:c>
      <x:c r="D649" s="12" t="str">
        <x:v>Rock Splitters, Quarry</x:v>
      </x:c>
      <x:c r="E649" s="2" t="str">
        <x:v>Include</x:v>
      </x:c>
      <x:c r="F649" s="2" t="str">
        <x:v>Yes</x:v>
      </x:c>
      <x:c r="G649" s="15" t="str">
        <x:v>6/6</x:v>
      </x:c>
      <x:c r="H649" s="18" t="n">
        <x:v>1.67</x:v>
      </x:c>
      <x:c r="I649" s="18" t="n">
        <x:v>2.33</x:v>
      </x:c>
      <x:c r="J649" s="18" t="n">
        <x:v>1.67</x:v>
      </x:c>
      <x:c r="K649" s="18" t="n">
        <x:v>2.67</x:v>
      </x:c>
      <x:c r="L649" s="18" t="n">
        <x:v>4.33</x:v>
      </x:c>
      <x:c r="M649" s="18" t="n">
        <x:v>2</x:v>
      </x:c>
      <x:c r="N649" s="12" t="str">
        <x:v>Separate blocks of rough dimension stone from quarry mass using jackhammers, wedges, or chop saws.</x:v>
      </x:c>
      <x:c r="O649" s="12" t="str">
        <x:v>https://www.onetonline.org/link/summary/47-5051.00</x:v>
      </x:c>
      <x:c r="P649" s="12" t="str">
        <x:v>SOC47 construction and extraction occupations.</x:v>
      </x:c>
    </x:row>
    <x:row r="650" ht="37.5" customHeight="1">
      <x:c r="A650" s="15" t="str">
        <x:v>784010</x:v>
      </x:c>
      <x:c r="B650" s="12" t="str">
        <x:v>Construction and extraction occupations</x:v>
      </x:c>
      <x:c r="C650" s="35" t="str">
        <x:v>47-5071.00</x:v>
      </x:c>
      <x:c r="D650" s="12" t="str">
        <x:v>Roustabouts, Oil and Gas</x:v>
      </x:c>
      <x:c r="E650" s="2" t="str">
        <x:v>Include</x:v>
      </x:c>
      <x:c r="F650" s="2" t="str">
        <x:v>Yes</x:v>
      </x:c>
      <x:c r="G650" s="15" t="str">
        <x:v>6/6</x:v>
      </x:c>
      <x:c r="H650" s="18" t="n">
        <x:v>2</x:v>
      </x:c>
      <x:c r="I650" s="18" t="n">
        <x:v>3</x:v>
      </x:c>
      <x:c r="J650" s="18" t="n">
        <x:v>1.67</x:v>
      </x:c>
      <x:c r="K650" s="18" t="n">
        <x:v>4.33</x:v>
      </x:c>
      <x:c r="L650" s="18" t="n">
        <x:v>5.67</x:v>
      </x:c>
      <x:c r="M650" s="18" t="n">
        <x:v>2.67</x:v>
      </x:c>
      <x:c r="N650" s="12" t="str">
        <x:v>Assemble or repair oil field equipment using hand and power tools. Perform other tasks as needed.</x:v>
      </x:c>
      <x:c r="O650" s="12" t="str">
        <x:v>https://www.onetonline.org/link/summary/47-5071.00</x:v>
      </x:c>
      <x:c r="P650" s="12" t="str">
        <x:v>SOC47 construction and extraction occupations.</x:v>
      </x:c>
    </x:row>
    <x:row r="651" ht="37.5" customHeight="1">
      <x:c r="A651" s="15" t="str">
        <x:v>784010</x:v>
      </x:c>
      <x:c r="B651" s="12" t="str">
        <x:v>Construction and extraction occupations</x:v>
      </x:c>
      <x:c r="C651" s="35" t="str">
        <x:v>47-5081.00</x:v>
      </x:c>
      <x:c r="D651" s="12" t="str">
        <x:v>Helpers--Extraction Workers</x:v>
      </x:c>
      <x:c r="E651" s="2" t="str">
        <x:v>Include</x:v>
      </x:c>
      <x:c r="F651" s="2" t="str">
        <x:v>Yes</x:v>
      </x:c>
      <x:c r="G651" s="15" t="str">
        <x:v>6/6</x:v>
      </x:c>
      <x:c r="H651" s="18" t="n">
        <x:v>2</x:v>
      </x:c>
      <x:c r="I651" s="18" t="n">
        <x:v>3</x:v>
      </x:c>
      <x:c r="J651" s="18" t="n">
        <x:v>1</x:v>
      </x:c>
      <x:c r="K651" s="18" t="n">
        <x:v>3</x:v>
      </x:c>
      <x:c r="L651" s="18" t="n">
        <x:v>4.67</x:v>
      </x:c>
      <x:c r="M651" s="18" t="n">
        <x:v>2.67</x:v>
      </x:c>
      <x:c r="N651" s="12" t="str">
        <x:v>Help extraction craft workers, such as earth drillers, blasters and explosives workers, derrick operators, and mining machine operators, by performing duties requiring less skill. Duties include supplying equipment or cleaning work area.</x:v>
      </x:c>
      <x:c r="O651" s="12" t="str">
        <x:v>https://www.onetonline.org/link/summary/47-5081.00</x:v>
      </x:c>
      <x:c r="P651" s="12" t="str">
        <x:v>SOC47 construction and extraction occupations.</x:v>
      </x:c>
    </x:row>
    <x:row r="652" ht="37.5" customHeight="1">
      <x:c r="A652" s="15" t="str">
        <x:v>784010</x:v>
      </x:c>
      <x:c r="B652" s="12" t="str">
        <x:v>Construction and extraction occupations</x:v>
      </x:c>
      <x:c r="C652" s="35" t="str">
        <x:v>47-5099.00</x:v>
      </x:c>
      <x:c r="D652" s="12" t="str">
        <x:v>Extraction Workers, All Other</x:v>
      </x:c>
      <x:c r="E652" s="2" t="str">
        <x:v>Exclude (no Work Values)</x:v>
      </x:c>
      <x:c r="F652" s="2" t="str">
        <x:v>Yes</x:v>
      </x:c>
      <x:c r="G652" s="15" t="str">
        <x:v>0/6</x:v>
      </x:c>
      <x:c r="H652" s="18"/>
      <x:c r="I652" s="18"/>
      <x:c r="J652" s="18"/>
      <x:c r="K652" s="18"/>
      <x:c r="L652" s="18"/>
      <x:c r="M652" s="18"/>
      <x:c r="N652" s="12" t="str">
        <x:v>All extraction workers not listed separately.</x:v>
      </x:c>
      <x:c r="O652" s="12" t="str">
        <x:v>https://www.onetonline.org/link/summary/47-5099.00</x:v>
      </x:c>
      <x:c r="P652" s="12" t="str">
        <x:v>SOC47 construction and extraction occupations.</x:v>
      </x:c>
    </x:row>
    <x:row r="653" ht="37.5" customHeight="1">
      <x:c r="A653" s="15" t="str">
        <x:v>784020</x:v>
      </x:c>
      <x:c r="B653" s="12" t="str">
        <x:v>Installation, maintenance, and repair occupations</x:v>
      </x:c>
      <x:c r="C653" s="35" t="str">
        <x:v>49-1011.00</x:v>
      </x:c>
      <x:c r="D653" s="12" t="str">
        <x:v>First-Line Supervisors of Mechanics, Installers, and Repairers</x:v>
      </x:c>
      <x:c r="E653" s="2" t="str">
        <x:v>Include</x:v>
      </x:c>
      <x:c r="F653" s="2" t="str">
        <x:v>Yes</x:v>
      </x:c>
      <x:c r="G653" s="15" t="str">
        <x:v>6/6</x:v>
      </x:c>
      <x:c r="H653" s="18" t="n">
        <x:v>4.67</x:v>
      </x:c>
      <x:c r="I653" s="18" t="n">
        <x:v>5</x:v>
      </x:c>
      <x:c r="J653" s="18" t="n">
        <x:v>4</x:v>
      </x:c>
      <x:c r="K653" s="18" t="n">
        <x:v>4.33</x:v>
      </x:c>
      <x:c r="L653" s="18" t="n">
        <x:v>4.33</x:v>
      </x:c>
      <x:c r="M653" s="18" t="n">
        <x:v>5.67</x:v>
      </x:c>
      <x:c r="N653" s="12" t="str">
        <x:v>Directly supervise and coordinate the activities of mechanics, installers, and repairers. May also advise customers on recommended services. Excludes team or work leaders.</x:v>
      </x:c>
      <x:c r="O653" s="12" t="str">
        <x:v>https://www.onetonline.org/link/summary/49-1011.00</x:v>
      </x:c>
      <x:c r="P653" s="12" t="str">
        <x:v>SOC49 installation, maintenance and repair occupations.</x:v>
      </x:c>
    </x:row>
    <x:row r="654" ht="37.5" customHeight="1">
      <x:c r="A654" s="15" t="str">
        <x:v>784020</x:v>
      </x:c>
      <x:c r="B654" s="12" t="str">
        <x:v>Installation, maintenance, and repair occupations</x:v>
      </x:c>
      <x:c r="C654" s="35" t="str">
        <x:v>49-2011.00</x:v>
      </x:c>
      <x:c r="D654" s="12" t="str">
        <x:v>Computer, Automated Teller, and Office Machine Repairers</x:v>
      </x:c>
      <x:c r="E654" s="2" t="str">
        <x:v>Include</x:v>
      </x:c>
      <x:c r="F654" s="2" t="str">
        <x:v>Yes</x:v>
      </x:c>
      <x:c r="G654" s="15" t="str">
        <x:v>6/6</x:v>
      </x:c>
      <x:c r="H654" s="18" t="n">
        <x:v>3.33</x:v>
      </x:c>
      <x:c r="I654" s="18" t="n">
        <x:v>3.83</x:v>
      </x:c>
      <x:c r="J654" s="18" t="n">
        <x:v>2.67</x:v>
      </x:c>
      <x:c r="K654" s="18" t="n">
        <x:v>3.33</x:v>
      </x:c>
      <x:c r="L654" s="18" t="n">
        <x:v>4.33</x:v>
      </x:c>
      <x:c r="M654" s="18" t="n">
        <x:v>4</x:v>
      </x:c>
      <x:c r="N654" s="12" t="str">
        <x:v>Repair, maintain, or install computers, word processing systems, automated teller machines, and electronic office machines, such as duplicating and fax machines.</x:v>
      </x:c>
      <x:c r="O654" s="12" t="str">
        <x:v>https://www.onetonline.org/link/summary/49-2011.00</x:v>
      </x:c>
      <x:c r="P654" s="12" t="str">
        <x:v>SOC49 installation, maintenance and repair occupations.</x:v>
      </x:c>
    </x:row>
    <x:row r="655" ht="37.5" customHeight="1">
      <x:c r="A655" s="15" t="str">
        <x:v>784020</x:v>
      </x:c>
      <x:c r="B655" s="12" t="str">
        <x:v>Installation, maintenance, and repair occupations</x:v>
      </x:c>
      <x:c r="C655" s="35" t="str">
        <x:v>49-2021.00</x:v>
      </x:c>
      <x:c r="D655" s="12" t="str">
        <x:v>Radio, Cellular, and Tower Equipment Installers and Repairers</x:v>
      </x:c>
      <x:c r="E655" s="2" t="str">
        <x:v>Include</x:v>
      </x:c>
      <x:c r="F655" s="2" t="str">
        <x:v>Yes</x:v>
      </x:c>
      <x:c r="G655" s="15" t="str">
        <x:v>6/6</x:v>
      </x:c>
      <x:c r="H655" s="18" t="n">
        <x:v>4.33</x:v>
      </x:c>
      <x:c r="I655" s="18" t="n">
        <x:v>3.83</x:v>
      </x:c>
      <x:c r="J655" s="18" t="n">
        <x:v>2.67</x:v>
      </x:c>
      <x:c r="K655" s="18" t="n">
        <x:v>3</x:v>
      </x:c>
      <x:c r="L655" s="18" t="n">
        <x:v>4.33</x:v>
      </x:c>
      <x:c r="M655" s="18" t="n">
        <x:v>3</x:v>
      </x:c>
      <x:c r="N655" s="12" t="str">
        <x:v>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x:v>
      </x:c>
      <x:c r="O655" s="12" t="str">
        <x:v>https://www.onetonline.org/link/summary/49-2021.00</x:v>
      </x:c>
      <x:c r="P655" s="12" t="str">
        <x:v>SOC49 installation, maintenance and repair occupations.</x:v>
      </x:c>
    </x:row>
    <x:row r="656" ht="37.5" customHeight="1">
      <x:c r="A656" s="15" t="str">
        <x:v>784020</x:v>
      </x:c>
      <x:c r="B656" s="12" t="str">
        <x:v>Installation, maintenance, and repair occupations</x:v>
      </x:c>
      <x:c r="C656" s="35" t="str">
        <x:v>49-2022.00</x:v>
      </x:c>
      <x:c r="D656" s="12" t="str">
        <x:v>Telecommunications Equipment Installers and Repairers, Except Line Installers</x:v>
      </x:c>
      <x:c r="E656" s="2" t="str">
        <x:v>Include</x:v>
      </x:c>
      <x:c r="F656" s="2" t="str">
        <x:v>Yes</x:v>
      </x:c>
      <x:c r="G656" s="15" t="str">
        <x:v>6/6</x:v>
      </x:c>
      <x:c r="H656" s="18" t="n">
        <x:v>4</x:v>
      </x:c>
      <x:c r="I656" s="18" t="n">
        <x:v>4.83</x:v>
      </x:c>
      <x:c r="J656" s="18" t="n">
        <x:v>2.67</x:v>
      </x:c>
      <x:c r="K656" s="18" t="n">
        <x:v>4.33</x:v>
      </x:c>
      <x:c r="L656" s="18" t="n">
        <x:v>5.67</x:v>
      </x:c>
      <x:c r="M656" s="18" t="n">
        <x:v>5</x:v>
      </x:c>
      <x:c r="N656" s="12" t="str">
        <x:v>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x:v>
      </x:c>
      <x:c r="O656" s="12" t="str">
        <x:v>https://www.onetonline.org/link/summary/49-2022.00</x:v>
      </x:c>
      <x:c r="P656" s="12" t="str">
        <x:v>SOC49 installation, maintenance and repair occupations.</x:v>
      </x:c>
    </x:row>
    <x:row r="657" ht="37.5" customHeight="1">
      <x:c r="A657" s="15" t="str">
        <x:v>784020</x:v>
      </x:c>
      <x:c r="B657" s="12" t="str">
        <x:v>Installation, maintenance, and repair occupations</x:v>
      </x:c>
      <x:c r="C657" s="35" t="str">
        <x:v>49-2091.00</x:v>
      </x:c>
      <x:c r="D657" s="12" t="str">
        <x:v>Avionics Technicians</x:v>
      </x:c>
      <x:c r="E657" s="2" t="str">
        <x:v>Include</x:v>
      </x:c>
      <x:c r="F657" s="2" t="str">
        <x:v>Yes</x:v>
      </x:c>
      <x:c r="G657" s="15" t="str">
        <x:v>6/6</x:v>
      </x:c>
      <x:c r="H657" s="18" t="n">
        <x:v>4</x:v>
      </x:c>
      <x:c r="I657" s="18" t="n">
        <x:v>3.83</x:v>
      </x:c>
      <x:c r="J657" s="18" t="n">
        <x:v>3.67</x:v>
      </x:c>
      <x:c r="K657" s="18" t="n">
        <x:v>4.33</x:v>
      </x:c>
      <x:c r="L657" s="18" t="n">
        <x:v>5.33</x:v>
      </x:c>
      <x:c r="M657" s="18" t="n">
        <x:v>4</x:v>
      </x:c>
      <x:c r="N657" s="12" t="str">
        <x:v>Install, inspect, test, adjust, or repair avionics equipment, such as radar, radio, navigation, and missile control systems in aircraft or space vehicles.</x:v>
      </x:c>
      <x:c r="O657" s="12" t="str">
        <x:v>https://www.onetonline.org/link/summary/49-2091.00</x:v>
      </x:c>
      <x:c r="P657" s="12" t="str">
        <x:v>SOC49 installation, maintenance and repair occupations.</x:v>
      </x:c>
    </x:row>
    <x:row r="658" ht="37.5" customHeight="1">
      <x:c r="A658" s="15" t="str">
        <x:v>784020</x:v>
      </x:c>
      <x:c r="B658" s="12" t="str">
        <x:v>Installation, maintenance, and repair occupations</x:v>
      </x:c>
      <x:c r="C658" s="35" t="str">
        <x:v>49-2092.00</x:v>
      </x:c>
      <x:c r="D658" s="12" t="str">
        <x:v>Electric Motor, Power Tool, and Related Repairers</x:v>
      </x:c>
      <x:c r="E658" s="2" t="str">
        <x:v>Include</x:v>
      </x:c>
      <x:c r="F658" s="2" t="str">
        <x:v>Yes</x:v>
      </x:c>
      <x:c r="G658" s="15" t="str">
        <x:v>6/6</x:v>
      </x:c>
      <x:c r="H658" s="18" t="n">
        <x:v>3.33</x:v>
      </x:c>
      <x:c r="I658" s="18" t="n">
        <x:v>3.67</x:v>
      </x:c>
      <x:c r="J658" s="18" t="n">
        <x:v>3</x:v>
      </x:c>
      <x:c r="K658" s="18" t="n">
        <x:v>4</x:v>
      </x:c>
      <x:c r="L658" s="18" t="n">
        <x:v>5</x:v>
      </x:c>
      <x:c r="M658" s="18" t="n">
        <x:v>3.67</x:v>
      </x:c>
      <x:c r="N658" s="12" t="str">
        <x:v>Repair, maintain, or install electric motors, wiring, or switches.</x:v>
      </x:c>
      <x:c r="O658" s="12" t="str">
        <x:v>https://www.onetonline.org/link/summary/49-2092.00</x:v>
      </x:c>
      <x:c r="P658" s="12" t="str">
        <x:v>SOC49 installation, maintenance and repair occupations.</x:v>
      </x:c>
    </x:row>
    <x:row r="659" ht="37.5" customHeight="1">
      <x:c r="A659" s="15" t="str">
        <x:v>784020</x:v>
      </x:c>
      <x:c r="B659" s="12" t="str">
        <x:v>Installation, maintenance, and repair occupations</x:v>
      </x:c>
      <x:c r="C659" s="35" t="str">
        <x:v>49-2093.00</x:v>
      </x:c>
      <x:c r="D659" s="12" t="str">
        <x:v>Electrical and Electronics Installers and Repairers, Transportation Equipment</x:v>
      </x:c>
      <x:c r="E659" s="2" t="str">
        <x:v>Include</x:v>
      </x:c>
      <x:c r="F659" s="2" t="str">
        <x:v>Yes</x:v>
      </x:c>
      <x:c r="G659" s="15" t="str">
        <x:v>6/6</x:v>
      </x:c>
      <x:c r="H659" s="18" t="n">
        <x:v>3.67</x:v>
      </x:c>
      <x:c r="I659" s="18" t="n">
        <x:v>4</x:v>
      </x:c>
      <x:c r="J659" s="18" t="n">
        <x:v>3</x:v>
      </x:c>
      <x:c r="K659" s="18" t="n">
        <x:v>4</x:v>
      </x:c>
      <x:c r="L659" s="18" t="n">
        <x:v>4.67</x:v>
      </x:c>
      <x:c r="M659" s="18" t="n">
        <x:v>3</x:v>
      </x:c>
      <x:c r="N659" s="12" t="str">
        <x:v>Install, adjust, or maintain mobile electronics communication equipment, including sound, sonar, security, navigation, and surveillance systems on trains, watercraft, or other mobile equipment.</x:v>
      </x:c>
      <x:c r="O659" s="12" t="str">
        <x:v>https://www.onetonline.org/link/summary/49-2093.00</x:v>
      </x:c>
      <x:c r="P659" s="12" t="str">
        <x:v>SOC49 installation, maintenance and repair occupations.</x:v>
      </x:c>
    </x:row>
    <x:row r="660" ht="37.5" customHeight="1">
      <x:c r="A660" s="15" t="str">
        <x:v>784020</x:v>
      </x:c>
      <x:c r="B660" s="12" t="str">
        <x:v>Installation, maintenance, and repair occupations</x:v>
      </x:c>
      <x:c r="C660" s="35" t="str">
        <x:v>49-2094.00</x:v>
      </x:c>
      <x:c r="D660" s="12" t="str">
        <x:v>Electrical and Electronics Repairers, Commercial and Industrial Equipment</x:v>
      </x:c>
      <x:c r="E660" s="2" t="str">
        <x:v>Include</x:v>
      </x:c>
      <x:c r="F660" s="2" t="str">
        <x:v>Yes</x:v>
      </x:c>
      <x:c r="G660" s="15" t="str">
        <x:v>6/6</x:v>
      </x:c>
      <x:c r="H660" s="18" t="n">
        <x:v>3.33</x:v>
      </x:c>
      <x:c r="I660" s="18" t="n">
        <x:v>4.33</x:v>
      </x:c>
      <x:c r="J660" s="18" t="n">
        <x:v>3</x:v>
      </x:c>
      <x:c r="K660" s="18" t="n">
        <x:v>3</x:v>
      </x:c>
      <x:c r="L660" s="18" t="n">
        <x:v>4.67</x:v>
      </x:c>
      <x:c r="M660" s="18" t="n">
        <x:v>4.33</x:v>
      </x:c>
      <x:c r="N660" s="12" t="str">
        <x:v>Repair, test, adjust, or install electronic equipment, such as industrial controls, transmitters, and antennas.</x:v>
      </x:c>
      <x:c r="O660" s="12" t="str">
        <x:v>https://www.onetonline.org/link/summary/49-2094.00</x:v>
      </x:c>
      <x:c r="P660" s="12" t="str">
        <x:v>SOC49 installation, maintenance and repair occupations.</x:v>
      </x:c>
    </x:row>
    <x:row r="661" ht="37.5" customHeight="1">
      <x:c r="A661" s="15" t="str">
        <x:v>784020</x:v>
      </x:c>
      <x:c r="B661" s="12" t="str">
        <x:v>Installation, maintenance, and repair occupations</x:v>
      </x:c>
      <x:c r="C661" s="35" t="str">
        <x:v>49-2095.00</x:v>
      </x:c>
      <x:c r="D661" s="12" t="str">
        <x:v>Electrical and Electronics Repairers, Powerhouse, Substation, and Relay</x:v>
      </x:c>
      <x:c r="E661" s="2" t="str">
        <x:v>Include</x:v>
      </x:c>
      <x:c r="F661" s="2" t="str">
        <x:v>Yes</x:v>
      </x:c>
      <x:c r="G661" s="15" t="str">
        <x:v>6/6</x:v>
      </x:c>
      <x:c r="H661" s="18" t="n">
        <x:v>3.33</x:v>
      </x:c>
      <x:c r="I661" s="18" t="n">
        <x:v>4.17</x:v>
      </x:c>
      <x:c r="J661" s="18" t="n">
        <x:v>2.33</x:v>
      </x:c>
      <x:c r="K661" s="18" t="n">
        <x:v>3.67</x:v>
      </x:c>
      <x:c r="L661" s="18" t="n">
        <x:v>5.67</x:v>
      </x:c>
      <x:c r="M661" s="18" t="n">
        <x:v>5</x:v>
      </x:c>
      <x:c r="N661" s="12" t="str">
        <x:v>Inspect, test, repair, or maintain electrical equipment in generating stations, substations, and in-service relays.</x:v>
      </x:c>
      <x:c r="O661" s="12" t="str">
        <x:v>https://www.onetonline.org/link/summary/49-2095.00</x:v>
      </x:c>
      <x:c r="P661" s="12" t="str">
        <x:v>SOC49 installation, maintenance and repair occupations.</x:v>
      </x:c>
    </x:row>
    <x:row r="662" ht="37.5" customHeight="1">
      <x:c r="A662" s="15" t="str">
        <x:v>784020</x:v>
      </x:c>
      <x:c r="B662" s="12" t="str">
        <x:v>Installation, maintenance, and repair occupations</x:v>
      </x:c>
      <x:c r="C662" s="35" t="str">
        <x:v>49-2096.00</x:v>
      </x:c>
      <x:c r="D662" s="12" t="str">
        <x:v>Electronic Equipment Installers and Repairers, Motor Vehicles</x:v>
      </x:c>
      <x:c r="E662" s="2" t="str">
        <x:v>Include</x:v>
      </x:c>
      <x:c r="F662" s="2" t="str">
        <x:v>Yes</x:v>
      </x:c>
      <x:c r="G662" s="15" t="str">
        <x:v>6/6</x:v>
      </x:c>
      <x:c r="H662" s="18" t="n">
        <x:v>3</x:v>
      </x:c>
      <x:c r="I662" s="18" t="n">
        <x:v>3</x:v>
      </x:c>
      <x:c r="J662" s="18" t="n">
        <x:v>3</x:v>
      </x:c>
      <x:c r="K662" s="18" t="n">
        <x:v>3.67</x:v>
      </x:c>
      <x:c r="L662" s="18" t="n">
        <x:v>4.33</x:v>
      </x:c>
      <x:c r="M662" s="18" t="n">
        <x:v>4</x:v>
      </x:c>
      <x:c r="N662" s="12" t="str">
        <x:v>Install, diagnose, or repair communications, sound, security, or navigation equipment in motor vehicles.</x:v>
      </x:c>
      <x:c r="O662" s="12" t="str">
        <x:v>https://www.onetonline.org/link/summary/49-2096.00</x:v>
      </x:c>
      <x:c r="P662" s="12" t="str">
        <x:v>SOC49 installation, maintenance and repair occupations.</x:v>
      </x:c>
    </x:row>
    <x:row r="663" ht="37.5" customHeight="1">
      <x:c r="A663" s="15" t="str">
        <x:v>784020</x:v>
      </x:c>
      <x:c r="B663" s="12" t="str">
        <x:v>Installation, maintenance, and repair occupations</x:v>
      </x:c>
      <x:c r="C663" s="35" t="str">
        <x:v>49-2097.00</x:v>
      </x:c>
      <x:c r="D663" s="12" t="str">
        <x:v>Audiovisual Equipment Installers and Repairers</x:v>
      </x:c>
      <x:c r="E663" s="2" t="str">
        <x:v>Include</x:v>
      </x:c>
      <x:c r="F663" s="2" t="str">
        <x:v>Yes</x:v>
      </x:c>
      <x:c r="G663" s="15" t="str">
        <x:v>6/6</x:v>
      </x:c>
      <x:c r="H663" s="18" t="n">
        <x:v>3</x:v>
      </x:c>
      <x:c r="I663" s="18" t="n">
        <x:v>3.17</x:v>
      </x:c>
      <x:c r="J663" s="18" t="n">
        <x:v>2.67</x:v>
      </x:c>
      <x:c r="K663" s="18" t="n">
        <x:v>4</x:v>
      </x:c>
      <x:c r="L663" s="18" t="n">
        <x:v>4.33</x:v>
      </x:c>
      <x:c r="M663" s="18" t="n">
        <x:v>3.33</x:v>
      </x:c>
      <x:c r="N663" s="12" t="str">
        <x:v>Install, repair, or adjust audio or television receivers, stereo systems, camcorders, video systems, or other electronic entertainment equipment in homes or other venues. May perform routine maintenance.</x:v>
      </x:c>
      <x:c r="O663" s="12" t="str">
        <x:v>https://www.onetonline.org/link/summary/49-2097.00</x:v>
      </x:c>
      <x:c r="P663" s="12" t="str">
        <x:v>SOC49 installation, maintenance and repair occupations.</x:v>
      </x:c>
    </x:row>
    <x:row r="664" ht="37.5" customHeight="1">
      <x:c r="A664" s="15" t="str">
        <x:v>784020</x:v>
      </x:c>
      <x:c r="B664" s="12" t="str">
        <x:v>Installation, maintenance, and repair occupations</x:v>
      </x:c>
      <x:c r="C664" s="35" t="str">
        <x:v>49-2098.00</x:v>
      </x:c>
      <x:c r="D664" s="12" t="str">
        <x:v>Security and Fire Alarm Systems Installers</x:v>
      </x:c>
      <x:c r="E664" s="2" t="str">
        <x:v>Include</x:v>
      </x:c>
      <x:c r="F664" s="2" t="str">
        <x:v>Yes</x:v>
      </x:c>
      <x:c r="G664" s="15" t="str">
        <x:v>6/6</x:v>
      </x:c>
      <x:c r="H664" s="18" t="n">
        <x:v>3.33</x:v>
      </x:c>
      <x:c r="I664" s="18" t="n">
        <x:v>3.17</x:v>
      </x:c>
      <x:c r="J664" s="18" t="n">
        <x:v>3</x:v>
      </x:c>
      <x:c r="K664" s="18" t="n">
        <x:v>4.33</x:v>
      </x:c>
      <x:c r="L664" s="18" t="n">
        <x:v>5</x:v>
      </x:c>
      <x:c r="M664" s="18" t="n">
        <x:v>4</x:v>
      </x:c>
      <x:c r="N664" s="12" t="str">
        <x:v>Install, program, maintain, and repair security and fire alarm wiring and equipment. Ensure that work is in accordance with relevant codes.</x:v>
      </x:c>
      <x:c r="O664" s="12" t="str">
        <x:v>https://www.onetonline.org/link/summary/49-2098.00</x:v>
      </x:c>
      <x:c r="P664" s="12" t="str">
        <x:v>SOC49 installation, maintenance and repair occupations.</x:v>
      </x:c>
    </x:row>
    <x:row r="665" ht="37.5" customHeight="1">
      <x:c r="A665" s="15" t="str">
        <x:v>784020</x:v>
      </x:c>
      <x:c r="B665" s="12" t="str">
        <x:v>Installation, maintenance, and repair occupations</x:v>
      </x:c>
      <x:c r="C665" s="35" t="str">
        <x:v>49-3011.00</x:v>
      </x:c>
      <x:c r="D665" s="12" t="str">
        <x:v>Aircraft Mechanics and Service Technicians</x:v>
      </x:c>
      <x:c r="E665" s="2" t="str">
        <x:v>Include</x:v>
      </x:c>
      <x:c r="F665" s="2" t="str">
        <x:v>Yes</x:v>
      </x:c>
      <x:c r="G665" s="15" t="str">
        <x:v>6/6</x:v>
      </x:c>
      <x:c r="H665" s="18" t="n">
        <x:v>4</x:v>
      </x:c>
      <x:c r="I665" s="18" t="n">
        <x:v>4.67</x:v>
      </x:c>
      <x:c r="J665" s="18" t="n">
        <x:v>3.33</x:v>
      </x:c>
      <x:c r="K665" s="18" t="n">
        <x:v>4.33</x:v>
      </x:c>
      <x:c r="L665" s="18" t="n">
        <x:v>6</x:v>
      </x:c>
      <x:c r="M665" s="18" t="n">
        <x:v>3.67</x:v>
      </x:c>
      <x:c r="N665" s="12" t="str">
        <x:v>Diagnose, adjust, repair, or overhaul aircraft engines and assemblies, such as hydraulic and pneumatic systems.</x:v>
      </x:c>
      <x:c r="O665" s="12" t="str">
        <x:v>https://www.onetonline.org/link/summary/49-3011.00</x:v>
      </x:c>
      <x:c r="P665" s="12" t="str">
        <x:v>SOC49 installation, maintenance and repair occupations.</x:v>
      </x:c>
    </x:row>
    <x:row r="666" ht="37.5" customHeight="1">
      <x:c r="A666" s="15" t="str">
        <x:v>784020</x:v>
      </x:c>
      <x:c r="B666" s="12" t="str">
        <x:v>Installation, maintenance, and repair occupations</x:v>
      </x:c>
      <x:c r="C666" s="35" t="str">
        <x:v>49-3021.00</x:v>
      </x:c>
      <x:c r="D666" s="12" t="str">
        <x:v>Automotive Body and Related Repairers</x:v>
      </x:c>
      <x:c r="E666" s="2" t="str">
        <x:v>Include</x:v>
      </x:c>
      <x:c r="F666" s="2" t="str">
        <x:v>Yes</x:v>
      </x:c>
      <x:c r="G666" s="15" t="str">
        <x:v>6/6</x:v>
      </x:c>
      <x:c r="H666" s="18" t="n">
        <x:v>3</x:v>
      </x:c>
      <x:c r="I666" s="18" t="n">
        <x:v>3.5</x:v>
      </x:c>
      <x:c r="J666" s="18" t="n">
        <x:v>2.67</x:v>
      </x:c>
      <x:c r="K666" s="18" t="n">
        <x:v>4.33</x:v>
      </x:c>
      <x:c r="L666" s="18" t="n">
        <x:v>4.67</x:v>
      </x:c>
      <x:c r="M666" s="18" t="n">
        <x:v>4</x:v>
      </x:c>
      <x:c r="N666" s="12" t="str">
        <x:v>Repair and refinish automotive vehicle bodies and straighten vehicle frames.</x:v>
      </x:c>
      <x:c r="O666" s="12" t="str">
        <x:v>https://www.onetonline.org/link/summary/49-3021.00</x:v>
      </x:c>
      <x:c r="P666" s="12" t="str">
        <x:v>SOC49 installation, maintenance and repair occupations.</x:v>
      </x:c>
    </x:row>
    <x:row r="667" ht="37.5" customHeight="1">
      <x:c r="A667" s="15" t="str">
        <x:v>784020</x:v>
      </x:c>
      <x:c r="B667" s="12" t="str">
        <x:v>Installation, maintenance, and repair occupations</x:v>
      </x:c>
      <x:c r="C667" s="35" t="str">
        <x:v>49-3022.00</x:v>
      </x:c>
      <x:c r="D667" s="12" t="str">
        <x:v>Automotive Glass Installers and Repairers</x:v>
      </x:c>
      <x:c r="E667" s="2" t="str">
        <x:v>Include</x:v>
      </x:c>
      <x:c r="F667" s="2" t="str">
        <x:v>Yes</x:v>
      </x:c>
      <x:c r="G667" s="15" t="str">
        <x:v>6/6</x:v>
      </x:c>
      <x:c r="H667" s="18" t="n">
        <x:v>3</x:v>
      </x:c>
      <x:c r="I667" s="18" t="n">
        <x:v>3.17</x:v>
      </x:c>
      <x:c r="J667" s="18" t="n">
        <x:v>2.33</x:v>
      </x:c>
      <x:c r="K667" s="18" t="n">
        <x:v>5.33</x:v>
      </x:c>
      <x:c r="L667" s="18" t="n">
        <x:v>5.33</x:v>
      </x:c>
      <x:c r="M667" s="18" t="n">
        <x:v>4.33</x:v>
      </x:c>
      <x:c r="N667" s="12" t="str">
        <x:v>Replace or repair broken windshields and window glass in motor vehicles.</x:v>
      </x:c>
      <x:c r="O667" s="12" t="str">
        <x:v>https://www.onetonline.org/link/summary/49-3022.00</x:v>
      </x:c>
      <x:c r="P667" s="12" t="str">
        <x:v>SOC49 installation, maintenance and repair occupations.</x:v>
      </x:c>
    </x:row>
    <x:row r="668" ht="37.5" customHeight="1">
      <x:c r="A668" s="15" t="str">
        <x:v>784020</x:v>
      </x:c>
      <x:c r="B668" s="12" t="str">
        <x:v>Installation, maintenance, and repair occupations</x:v>
      </x:c>
      <x:c r="C668" s="35" t="str">
        <x:v>49-3023.00</x:v>
      </x:c>
      <x:c r="D668" s="12" t="str">
        <x:v>Automotive Service Technicians and Mechanics</x:v>
      </x:c>
      <x:c r="E668" s="2" t="str">
        <x:v>Include</x:v>
      </x:c>
      <x:c r="F668" s="2" t="str">
        <x:v>Yes</x:v>
      </x:c>
      <x:c r="G668" s="15" t="str">
        <x:v>6/6</x:v>
      </x:c>
      <x:c r="H668" s="18" t="n">
        <x:v>3.67</x:v>
      </x:c>
      <x:c r="I668" s="18" t="n">
        <x:v>3.58</x:v>
      </x:c>
      <x:c r="J668" s="18" t="n">
        <x:v>3</x:v>
      </x:c>
      <x:c r="K668" s="18" t="n">
        <x:v>3.83</x:v>
      </x:c>
      <x:c r="L668" s="18" t="n">
        <x:v>4.33</x:v>
      </x:c>
      <x:c r="M668" s="18" t="n">
        <x:v>4.33</x:v>
      </x:c>
      <x:c r="N668" s="12" t="str">
        <x:v>Diagnose, adjust, repair, or overhaul automotive vehicles.</x:v>
      </x:c>
      <x:c r="O668" s="12" t="str">
        <x:v>https://www.onetonline.org/link/summary/49-3023.00</x:v>
      </x:c>
      <x:c r="P668" s="12" t="str">
        <x:v>SOC49 installation, maintenance and repair occupations.</x:v>
      </x:c>
    </x:row>
    <x:row r="669" ht="37.5" customHeight="1">
      <x:c r="A669" s="15" t="str">
        <x:v>784020</x:v>
      </x:c>
      <x:c r="B669" s="12" t="str">
        <x:v>Installation, maintenance, and repair occupations</x:v>
      </x:c>
      <x:c r="C669" s="35" t="str">
        <x:v>49-3031.00</x:v>
      </x:c>
      <x:c r="D669" s="12" t="str">
        <x:v>Bus and Truck Mechanics and Diesel Engine Specialists</x:v>
      </x:c>
      <x:c r="E669" s="2" t="str">
        <x:v>Include</x:v>
      </x:c>
      <x:c r="F669" s="2" t="str">
        <x:v>Yes</x:v>
      </x:c>
      <x:c r="G669" s="15" t="str">
        <x:v>6/6</x:v>
      </x:c>
      <x:c r="H669" s="18" t="n">
        <x:v>3.67</x:v>
      </x:c>
      <x:c r="I669" s="18" t="n">
        <x:v>3.5</x:v>
      </x:c>
      <x:c r="J669" s="18" t="n">
        <x:v>3.33</x:v>
      </x:c>
      <x:c r="K669" s="18" t="n">
        <x:v>4.33</x:v>
      </x:c>
      <x:c r="L669" s="18" t="n">
        <x:v>5</x:v>
      </x:c>
      <x:c r="M669" s="18" t="n">
        <x:v>3.67</x:v>
      </x:c>
      <x:c r="N669" s="12" t="str">
        <x:v>Diagnose, adjust, repair, or overhaul buses and trucks, or maintain and repair any type of diesel engines. Includes mechanics working primarily with automobile or marine diesel engines.</x:v>
      </x:c>
      <x:c r="O669" s="12" t="str">
        <x:v>https://www.onetonline.org/link/summary/49-3031.00</x:v>
      </x:c>
      <x:c r="P669" s="12" t="str">
        <x:v>SOC49 installation, maintenance and repair occupations.</x:v>
      </x:c>
    </x:row>
    <x:row r="670" ht="37.5" customHeight="1">
      <x:c r="A670" s="15" t="str">
        <x:v>784020</x:v>
      </x:c>
      <x:c r="B670" s="12" t="str">
        <x:v>Installation, maintenance, and repair occupations</x:v>
      </x:c>
      <x:c r="C670" s="35" t="str">
        <x:v>49-3041.00</x:v>
      </x:c>
      <x:c r="D670" s="12" t="str">
        <x:v>Farm Equipment Mechanics and Service Technicians</x:v>
      </x:c>
      <x:c r="E670" s="2" t="str">
        <x:v>Include</x:v>
      </x:c>
      <x:c r="F670" s="2" t="str">
        <x:v>Yes</x:v>
      </x:c>
      <x:c r="G670" s="15" t="str">
        <x:v>6/6</x:v>
      </x:c>
      <x:c r="H670" s="18" t="n">
        <x:v>4</x:v>
      </x:c>
      <x:c r="I670" s="18" t="n">
        <x:v>3.33</x:v>
      </x:c>
      <x:c r="J670" s="18" t="n">
        <x:v>2.67</x:v>
      </x:c>
      <x:c r="K670" s="18" t="n">
        <x:v>3</x:v>
      </x:c>
      <x:c r="L670" s="18" t="n">
        <x:v>5.33</x:v>
      </x:c>
      <x:c r="M670" s="18" t="n">
        <x:v>4.67</x:v>
      </x:c>
      <x:c r="N670" s="12" t="str">
        <x:v>Diagnose, adjust, repair, or overhaul farm machinery and vehicles, such as tractors, harvesters, dairy equipment, and irrigation systems.</x:v>
      </x:c>
      <x:c r="O670" s="12" t="str">
        <x:v>https://www.onetonline.org/link/summary/49-3041.00</x:v>
      </x:c>
      <x:c r="P670" s="12" t="str">
        <x:v>SOC49 installation, maintenance and repair occupations.</x:v>
      </x:c>
    </x:row>
    <x:row r="671" ht="37.5" customHeight="1">
      <x:c r="A671" s="15" t="str">
        <x:v>784020</x:v>
      </x:c>
      <x:c r="B671" s="12" t="str">
        <x:v>Installation, maintenance, and repair occupations</x:v>
      </x:c>
      <x:c r="C671" s="35" t="str">
        <x:v>49-3042.00</x:v>
      </x:c>
      <x:c r="D671" s="12" t="str">
        <x:v>Mobile Heavy Equipment Mechanics, Except Engines</x:v>
      </x:c>
      <x:c r="E671" s="2" t="str">
        <x:v>Include</x:v>
      </x:c>
      <x:c r="F671" s="2" t="str">
        <x:v>Yes</x:v>
      </x:c>
      <x:c r="G671" s="15" t="str">
        <x:v>6/6</x:v>
      </x:c>
      <x:c r="H671" s="18" t="n">
        <x:v>4</x:v>
      </x:c>
      <x:c r="I671" s="18" t="n">
        <x:v>4</x:v>
      </x:c>
      <x:c r="J671" s="18" t="n">
        <x:v>3.67</x:v>
      </x:c>
      <x:c r="K671" s="18" t="n">
        <x:v>4.33</x:v>
      </x:c>
      <x:c r="L671" s="18" t="n">
        <x:v>5</x:v>
      </x:c>
      <x:c r="M671" s="18" t="n">
        <x:v>4.33</x:v>
      </x:c>
      <x:c r="N671" s="12" t="str">
        <x:v>Diagnose, adjust, repair, or overhaul mobile mechanical, hydraulic, and pneumatic equipment, such as cranes, bulldozers, graders, and conveyors, used in construction, logging, and mining.</x:v>
      </x:c>
      <x:c r="O671" s="12" t="str">
        <x:v>https://www.onetonline.org/link/summary/49-3042.00</x:v>
      </x:c>
      <x:c r="P671" s="12" t="str">
        <x:v>SOC49 installation, maintenance and repair occupations.</x:v>
      </x:c>
    </x:row>
    <x:row r="672" ht="37.5" customHeight="1">
      <x:c r="A672" s="15" t="str">
        <x:v>784020</x:v>
      </x:c>
      <x:c r="B672" s="12" t="str">
        <x:v>Installation, maintenance, and repair occupations</x:v>
      </x:c>
      <x:c r="C672" s="35" t="str">
        <x:v>49-3043.00</x:v>
      </x:c>
      <x:c r="D672" s="12" t="str">
        <x:v>Rail Car Repairers</x:v>
      </x:c>
      <x:c r="E672" s="2" t="str">
        <x:v>Include</x:v>
      </x:c>
      <x:c r="F672" s="2" t="str">
        <x:v>Yes</x:v>
      </x:c>
      <x:c r="G672" s="15" t="str">
        <x:v>6/6</x:v>
      </x:c>
      <x:c r="H672" s="18" t="n">
        <x:v>2.33</x:v>
      </x:c>
      <x:c r="I672" s="18" t="n">
        <x:v>3.5</x:v>
      </x:c>
      <x:c r="J672" s="18" t="n">
        <x:v>2.33</x:v>
      </x:c>
      <x:c r="K672" s="18" t="n">
        <x:v>2.67</x:v>
      </x:c>
      <x:c r="L672" s="18" t="n">
        <x:v>5</x:v>
      </x:c>
      <x:c r="M672" s="18" t="n">
        <x:v>3</x:v>
      </x:c>
      <x:c r="N672" s="12" t="str">
        <x:v>Diagnose, adjust, repair, or overhaul railroad rolling stock, mine cars, or mass transit rail cars.</x:v>
      </x:c>
      <x:c r="O672" s="12" t="str">
        <x:v>https://www.onetonline.org/link/summary/49-3043.00</x:v>
      </x:c>
      <x:c r="P672" s="12" t="str">
        <x:v>SOC49 installation, maintenance and repair occupations.</x:v>
      </x:c>
    </x:row>
    <x:row r="673" ht="37.5" customHeight="1">
      <x:c r="A673" s="15" t="str">
        <x:v>784020</x:v>
      </x:c>
      <x:c r="B673" s="12" t="str">
        <x:v>Installation, maintenance, and repair occupations</x:v>
      </x:c>
      <x:c r="C673" s="35" t="str">
        <x:v>49-3051.00</x:v>
      </x:c>
      <x:c r="D673" s="12" t="str">
        <x:v>Motorboat Mechanics and Service Technicians</x:v>
      </x:c>
      <x:c r="E673" s="2" t="str">
        <x:v>Include</x:v>
      </x:c>
      <x:c r="F673" s="2" t="str">
        <x:v>Yes</x:v>
      </x:c>
      <x:c r="G673" s="15" t="str">
        <x:v>6/6</x:v>
      </x:c>
      <x:c r="H673" s="18" t="n">
        <x:v>3.67</x:v>
      </x:c>
      <x:c r="I673" s="18" t="n">
        <x:v>3.83</x:v>
      </x:c>
      <x:c r="J673" s="18" t="n">
        <x:v>3</x:v>
      </x:c>
      <x:c r="K673" s="18" t="n">
        <x:v>3.33</x:v>
      </x:c>
      <x:c r="L673" s="18" t="n">
        <x:v>5.33</x:v>
      </x:c>
      <x:c r="M673" s="18" t="n">
        <x:v>4.33</x:v>
      </x:c>
      <x:c r="N673" s="12" t="str">
        <x:v>Repair and adjust electrical and mechanical equipment of inboard or inboard-outboard boat engines.</x:v>
      </x:c>
      <x:c r="O673" s="12" t="str">
        <x:v>https://www.onetonline.org/link/summary/49-3051.00</x:v>
      </x:c>
      <x:c r="P673" s="12" t="str">
        <x:v>SOC49 installation, maintenance and repair occupations.</x:v>
      </x:c>
    </x:row>
    <x:row r="674" ht="37.5" customHeight="1">
      <x:c r="A674" s="15" t="str">
        <x:v>784020</x:v>
      </x:c>
      <x:c r="B674" s="12" t="str">
        <x:v>Installation, maintenance, and repair occupations</x:v>
      </x:c>
      <x:c r="C674" s="35" t="str">
        <x:v>49-3052.00</x:v>
      </x:c>
      <x:c r="D674" s="12" t="str">
        <x:v>Motorcycle Mechanics</x:v>
      </x:c>
      <x:c r="E674" s="2" t="str">
        <x:v>Include</x:v>
      </x:c>
      <x:c r="F674" s="2" t="str">
        <x:v>Yes</x:v>
      </x:c>
      <x:c r="G674" s="15" t="str">
        <x:v>6/6</x:v>
      </x:c>
      <x:c r="H674" s="18" t="n">
        <x:v>4</x:v>
      </x:c>
      <x:c r="I674" s="18" t="n">
        <x:v>4.17</x:v>
      </x:c>
      <x:c r="J674" s="18" t="n">
        <x:v>3.33</x:v>
      </x:c>
      <x:c r="K674" s="18" t="n">
        <x:v>2</x:v>
      </x:c>
      <x:c r="L674" s="18" t="n">
        <x:v>4.33</x:v>
      </x:c>
      <x:c r="M674" s="18" t="n">
        <x:v>5</x:v>
      </x:c>
      <x:c r="N674" s="12" t="str">
        <x:v>Diagnose, adjust, repair, or overhaul motorcycles, scooters, mopeds, dirt bikes, or similar motorized vehicles.</x:v>
      </x:c>
      <x:c r="O674" s="12" t="str">
        <x:v>https://www.onetonline.org/link/summary/49-3052.00</x:v>
      </x:c>
      <x:c r="P674" s="12" t="str">
        <x:v>SOC49 installation, maintenance and repair occupations.</x:v>
      </x:c>
    </x:row>
    <x:row r="675" ht="37.5" customHeight="1">
      <x:c r="A675" s="15" t="str">
        <x:v>784020</x:v>
      </x:c>
      <x:c r="B675" s="12" t="str">
        <x:v>Installation, maintenance, and repair occupations</x:v>
      </x:c>
      <x:c r="C675" s="35" t="str">
        <x:v>49-3053.00</x:v>
      </x:c>
      <x:c r="D675" s="12" t="str">
        <x:v>Outdoor Power Equipment and Other Small Engine Mechanics</x:v>
      </x:c>
      <x:c r="E675" s="2" t="str">
        <x:v>Include</x:v>
      </x:c>
      <x:c r="F675" s="2" t="str">
        <x:v>Yes</x:v>
      </x:c>
      <x:c r="G675" s="15" t="str">
        <x:v>6/6</x:v>
      </x:c>
      <x:c r="H675" s="18" t="n">
        <x:v>3.33</x:v>
      </x:c>
      <x:c r="I675" s="18" t="n">
        <x:v>3.67</x:v>
      </x:c>
      <x:c r="J675" s="18" t="n">
        <x:v>2.67</x:v>
      </x:c>
      <x:c r="K675" s="18" t="n">
        <x:v>3.33</x:v>
      </x:c>
      <x:c r="L675" s="18" t="n">
        <x:v>4.67</x:v>
      </x:c>
      <x:c r="M675" s="18" t="n">
        <x:v>4.67</x:v>
      </x:c>
      <x:c r="N675" s="12" t="str">
        <x:v>Diagnose, adjust, repair, or overhaul small engines used to power lawn mowers, chain saws, recreational sporting equipment, and related equipment.</x:v>
      </x:c>
      <x:c r="O675" s="12" t="str">
        <x:v>https://www.onetonline.org/link/summary/49-3053.00</x:v>
      </x:c>
      <x:c r="P675" s="12" t="str">
        <x:v>SOC49 installation, maintenance and repair occupations.</x:v>
      </x:c>
    </x:row>
    <x:row r="676" ht="37.5" customHeight="1">
      <x:c r="A676" s="15" t="str">
        <x:v>784020</x:v>
      </x:c>
      <x:c r="B676" s="12" t="str">
        <x:v>Installation, maintenance, and repair occupations</x:v>
      </x:c>
      <x:c r="C676" s="35" t="str">
        <x:v>49-3091.00</x:v>
      </x:c>
      <x:c r="D676" s="12" t="str">
        <x:v>Bicycle Repairers</x:v>
      </x:c>
      <x:c r="E676" s="2" t="str">
        <x:v>Include</x:v>
      </x:c>
      <x:c r="F676" s="2" t="str">
        <x:v>Yes</x:v>
      </x:c>
      <x:c r="G676" s="15" t="str">
        <x:v>6/6</x:v>
      </x:c>
      <x:c r="H676" s="18" t="n">
        <x:v>3.67</x:v>
      </x:c>
      <x:c r="I676" s="18" t="n">
        <x:v>3</x:v>
      </x:c>
      <x:c r="J676" s="18" t="n">
        <x:v>2.33</x:v>
      </x:c>
      <x:c r="K676" s="18" t="n">
        <x:v>2.67</x:v>
      </x:c>
      <x:c r="L676" s="18" t="n">
        <x:v>3.33</x:v>
      </x:c>
      <x:c r="M676" s="18" t="n">
        <x:v>4.67</x:v>
      </x:c>
      <x:c r="N676" s="12" t="str">
        <x:v>Repair and service bicycles.</x:v>
      </x:c>
      <x:c r="O676" s="12" t="str">
        <x:v>https://www.onetonline.org/link/summary/49-3091.00</x:v>
      </x:c>
      <x:c r="P676" s="12" t="str">
        <x:v>SOC49 installation, maintenance and repair occupations.</x:v>
      </x:c>
    </x:row>
    <x:row r="677" ht="37.5" customHeight="1">
      <x:c r="A677" s="15" t="str">
        <x:v>784020</x:v>
      </x:c>
      <x:c r="B677" s="12" t="str">
        <x:v>Installation, maintenance, and repair occupations</x:v>
      </x:c>
      <x:c r="C677" s="35" t="str">
        <x:v>49-3092.00</x:v>
      </x:c>
      <x:c r="D677" s="12" t="str">
        <x:v>Recreational Vehicle Service Technicians</x:v>
      </x:c>
      <x:c r="E677" s="2" t="str">
        <x:v>Include</x:v>
      </x:c>
      <x:c r="F677" s="2" t="str">
        <x:v>Yes</x:v>
      </x:c>
      <x:c r="G677" s="15" t="str">
        <x:v>6/6</x:v>
      </x:c>
      <x:c r="H677" s="18" t="n">
        <x:v>3</x:v>
      </x:c>
      <x:c r="I677" s="18" t="n">
        <x:v>3.33</x:v>
      </x:c>
      <x:c r="J677" s="18" t="n">
        <x:v>2.67</x:v>
      </x:c>
      <x:c r="K677" s="18" t="n">
        <x:v>3.33</x:v>
      </x:c>
      <x:c r="L677" s="18" t="n">
        <x:v>4.33</x:v>
      </x:c>
      <x:c r="M677" s="18" t="n">
        <x:v>4</x:v>
      </x:c>
      <x:c r="N677" s="12" t="str">
        <x:v>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x:v>
      </x:c>
      <x:c r="O677" s="12" t="str">
        <x:v>https://www.onetonline.org/link/summary/49-3092.00</x:v>
      </x:c>
      <x:c r="P677" s="12" t="str">
        <x:v>SOC49 installation, maintenance and repair occupations.</x:v>
      </x:c>
    </x:row>
    <x:row r="678" ht="37.5" customHeight="1">
      <x:c r="A678" s="15" t="str">
        <x:v>784020</x:v>
      </x:c>
      <x:c r="B678" s="12" t="str">
        <x:v>Installation, maintenance, and repair occupations</x:v>
      </x:c>
      <x:c r="C678" s="35" t="str">
        <x:v>49-3093.00</x:v>
      </x:c>
      <x:c r="D678" s="12" t="str">
        <x:v>Tire Repairers and Changers</x:v>
      </x:c>
      <x:c r="E678" s="2" t="str">
        <x:v>Include</x:v>
      </x:c>
      <x:c r="F678" s="2" t="str">
        <x:v>Yes</x:v>
      </x:c>
      <x:c r="G678" s="15" t="str">
        <x:v>6/6</x:v>
      </x:c>
      <x:c r="H678" s="18" t="n">
        <x:v>2</x:v>
      </x:c>
      <x:c r="I678" s="18" t="n">
        <x:v>2</x:v>
      </x:c>
      <x:c r="J678" s="18" t="n">
        <x:v>2</x:v>
      </x:c>
      <x:c r="K678" s="18" t="n">
        <x:v>3.33</x:v>
      </x:c>
      <x:c r="L678" s="18" t="n">
        <x:v>4</x:v>
      </x:c>
      <x:c r="M678" s="18" t="n">
        <x:v>2.67</x:v>
      </x:c>
      <x:c r="N678" s="12" t="str">
        <x:v>Repair and replace tires.</x:v>
      </x:c>
      <x:c r="O678" s="12" t="str">
        <x:v>https://www.onetonline.org/link/summary/49-3093.00</x:v>
      </x:c>
      <x:c r="P678" s="12" t="str">
        <x:v>SOC49 installation, maintenance and repair occupations.</x:v>
      </x:c>
    </x:row>
    <x:row r="679" ht="37.5" customHeight="1">
      <x:c r="A679" s="15" t="str">
        <x:v>784020</x:v>
      </x:c>
      <x:c r="B679" s="12" t="str">
        <x:v>Installation, maintenance, and repair occupations</x:v>
      </x:c>
      <x:c r="C679" s="35" t="str">
        <x:v>49-9011.00</x:v>
      </x:c>
      <x:c r="D679" s="12" t="str">
        <x:v>Mechanical Door Repairers</x:v>
      </x:c>
      <x:c r="E679" s="2" t="str">
        <x:v>Include</x:v>
      </x:c>
      <x:c r="F679" s="2" t="str">
        <x:v>Yes</x:v>
      </x:c>
      <x:c r="G679" s="15" t="str">
        <x:v>6/6</x:v>
      </x:c>
      <x:c r="H679" s="18" t="n">
        <x:v>2.67</x:v>
      </x:c>
      <x:c r="I679" s="18" t="n">
        <x:v>3.17</x:v>
      </x:c>
      <x:c r="J679" s="18" t="n">
        <x:v>2.33</x:v>
      </x:c>
      <x:c r="K679" s="18" t="n">
        <x:v>2.67</x:v>
      </x:c>
      <x:c r="L679" s="18" t="n">
        <x:v>4.67</x:v>
      </x:c>
      <x:c r="M679" s="18" t="n">
        <x:v>4.67</x:v>
      </x:c>
      <x:c r="N679" s="12" t="str">
        <x:v>Install, service, or repair automatic door mechanisms and hydraulic doors. Includes garage door mechanics.</x:v>
      </x:c>
      <x:c r="O679" s="12" t="str">
        <x:v>https://www.onetonline.org/link/summary/49-9011.00</x:v>
      </x:c>
      <x:c r="P679" s="12" t="str">
        <x:v>SOC49 installation, maintenance and repair occupations.</x:v>
      </x:c>
    </x:row>
    <x:row r="680" ht="37.5" customHeight="1">
      <x:c r="A680" s="15" t="str">
        <x:v>784020</x:v>
      </x:c>
      <x:c r="B680" s="12" t="str">
        <x:v>Installation, maintenance, and repair occupations</x:v>
      </x:c>
      <x:c r="C680" s="35" t="str">
        <x:v>49-9012.00</x:v>
      </x:c>
      <x:c r="D680" s="12" t="str">
        <x:v>Control and Valve Installers and Repairers, Except Mechanical Door</x:v>
      </x:c>
      <x:c r="E680" s="2" t="str">
        <x:v>Include</x:v>
      </x:c>
      <x:c r="F680" s="2" t="str">
        <x:v>Yes</x:v>
      </x:c>
      <x:c r="G680" s="15" t="str">
        <x:v>6/6</x:v>
      </x:c>
      <x:c r="H680" s="18" t="n">
        <x:v>2.33</x:v>
      </x:c>
      <x:c r="I680" s="18" t="n">
        <x:v>3.33</x:v>
      </x:c>
      <x:c r="J680" s="18" t="n">
        <x:v>2</x:v>
      </x:c>
      <x:c r="K680" s="18" t="n">
        <x:v>2.67</x:v>
      </x:c>
      <x:c r="L680" s="18" t="n">
        <x:v>5.33</x:v>
      </x:c>
      <x:c r="M680" s="18" t="n">
        <x:v>4.33</x:v>
      </x:c>
      <x:c r="N680" s="12" t="str">
        <x:v>Install, repair, and maintain mechanical regulating and controlling devices, such as electric meters, gas regulators, thermostats, safety and flow valves, and other mechanical governors.</x:v>
      </x:c>
      <x:c r="O680" s="12" t="str">
        <x:v>https://www.onetonline.org/link/summary/49-9012.00</x:v>
      </x:c>
      <x:c r="P680" s="12" t="str">
        <x:v>SOC49 installation, maintenance and repair occupations.</x:v>
      </x:c>
    </x:row>
    <x:row r="681" ht="37.5" customHeight="1">
      <x:c r="A681" s="15" t="str">
        <x:v>784020</x:v>
      </x:c>
      <x:c r="B681" s="12" t="str">
        <x:v>Installation, maintenance, and repair occupations</x:v>
      </x:c>
      <x:c r="C681" s="35" t="str">
        <x:v>49-9021.00</x:v>
      </x:c>
      <x:c r="D681" s="12" t="str">
        <x:v>Heating, Air Conditioning, and Refrigeration Mechanics and Installers</x:v>
      </x:c>
      <x:c r="E681" s="2" t="str">
        <x:v>Include</x:v>
      </x:c>
      <x:c r="F681" s="2" t="str">
        <x:v>Yes</x:v>
      </x:c>
      <x:c r="G681" s="15" t="str">
        <x:v>6/6</x:v>
      </x:c>
      <x:c r="H681" s="18" t="n">
        <x:v>3.83</x:v>
      </x:c>
      <x:c r="I681" s="18" t="n">
        <x:v>4</x:v>
      </x:c>
      <x:c r="J681" s="18" t="n">
        <x:v>3</x:v>
      </x:c>
      <x:c r="K681" s="18" t="n">
        <x:v>4</x:v>
      </x:c>
      <x:c r="L681" s="18" t="n">
        <x:v>5.5</x:v>
      </x:c>
      <x:c r="M681" s="18" t="n">
        <x:v>5.33</x:v>
      </x:c>
      <x:c r="N681" s="12" t="str">
        <x:v>Install or repair heating, central air conditioning, HVAC, or refrigeration systems, including oil burners, hot-air furnaces, and heating stoves.</x:v>
      </x:c>
      <x:c r="O681" s="12" t="str">
        <x:v>https://www.onetonline.org/link/summary/49-9021.00</x:v>
      </x:c>
      <x:c r="P681" s="12" t="str">
        <x:v>SOC49 installation, maintenance and repair occupations.</x:v>
      </x:c>
    </x:row>
    <x:row r="682" ht="37.5" customHeight="1">
      <x:c r="A682" s="15" t="str">
        <x:v>784020</x:v>
      </x:c>
      <x:c r="B682" s="12" t="str">
        <x:v>Installation, maintenance, and repair occupations</x:v>
      </x:c>
      <x:c r="C682" s="35" t="str">
        <x:v>49-9031.00</x:v>
      </x:c>
      <x:c r="D682" s="12" t="str">
        <x:v>Home Appliance Repairers</x:v>
      </x:c>
      <x:c r="E682" s="2" t="str">
        <x:v>Include</x:v>
      </x:c>
      <x:c r="F682" s="2" t="str">
        <x:v>Yes</x:v>
      </x:c>
      <x:c r="G682" s="15" t="str">
        <x:v>6/6</x:v>
      </x:c>
      <x:c r="H682" s="18" t="n">
        <x:v>3.33</x:v>
      </x:c>
      <x:c r="I682" s="18" t="n">
        <x:v>4</x:v>
      </x:c>
      <x:c r="J682" s="18" t="n">
        <x:v>2.33</x:v>
      </x:c>
      <x:c r="K682" s="18" t="n">
        <x:v>3</x:v>
      </x:c>
      <x:c r="L682" s="18" t="n">
        <x:v>4.33</x:v>
      </x:c>
      <x:c r="M682" s="18" t="n">
        <x:v>4.67</x:v>
      </x:c>
      <x:c r="N682" s="12" t="str">
        <x:v>Repair, adjust, or install all types of electric or gas household appliances, such as refrigerators, washers, dryers, and ovens.</x:v>
      </x:c>
      <x:c r="O682" s="12" t="str">
        <x:v>https://www.onetonline.org/link/summary/49-9031.00</x:v>
      </x:c>
      <x:c r="P682" s="12" t="str">
        <x:v>SOC49 installation, maintenance and repair occupations.</x:v>
      </x:c>
    </x:row>
    <x:row r="683" ht="37.5" customHeight="1">
      <x:c r="A683" s="15" t="str">
        <x:v>784020</x:v>
      </x:c>
      <x:c r="B683" s="12" t="str">
        <x:v>Installation, maintenance, and repair occupations</x:v>
      </x:c>
      <x:c r="C683" s="35" t="str">
        <x:v>49-9041.00</x:v>
      </x:c>
      <x:c r="D683" s="12" t="str">
        <x:v>Industrial Machinery Mechanics</x:v>
      </x:c>
      <x:c r="E683" s="2" t="str">
        <x:v>Include</x:v>
      </x:c>
      <x:c r="F683" s="2" t="str">
        <x:v>Yes</x:v>
      </x:c>
      <x:c r="G683" s="15" t="str">
        <x:v>6/6</x:v>
      </x:c>
      <x:c r="H683" s="18" t="n">
        <x:v>3.67</x:v>
      </x:c>
      <x:c r="I683" s="18" t="n">
        <x:v>4.17</x:v>
      </x:c>
      <x:c r="J683" s="18" t="n">
        <x:v>2.67</x:v>
      </x:c>
      <x:c r="K683" s="18" t="n">
        <x:v>4</x:v>
      </x:c>
      <x:c r="L683" s="18" t="n">
        <x:v>5.67</x:v>
      </x:c>
      <x:c r="M683" s="18" t="n">
        <x:v>4.67</x:v>
      </x:c>
      <x:c r="N683" s="12" t="str">
        <x:v>Repair, install, adjust, or maintain industrial production and processing machinery or refinery and pipeline distribution systems. May also install, dismantle, or move machinery and heavy equipment according to plans.</x:v>
      </x:c>
      <x:c r="O683" s="12" t="str">
        <x:v>https://www.onetonline.org/link/summary/49-9041.00</x:v>
      </x:c>
      <x:c r="P683" s="12" t="str">
        <x:v>SOC49 installation, maintenance and repair occupations.</x:v>
      </x:c>
    </x:row>
    <x:row r="684" ht="37.5" customHeight="1">
      <x:c r="A684" s="15" t="str">
        <x:v>784020</x:v>
      </x:c>
      <x:c r="B684" s="12" t="str">
        <x:v>Installation, maintenance, and repair occupations</x:v>
      </x:c>
      <x:c r="C684" s="35" t="str">
        <x:v>49-9043.00</x:v>
      </x:c>
      <x:c r="D684" s="12" t="str">
        <x:v>Maintenance Workers, Machinery</x:v>
      </x:c>
      <x:c r="E684" s="2" t="str">
        <x:v>Include</x:v>
      </x:c>
      <x:c r="F684" s="2" t="str">
        <x:v>Yes</x:v>
      </x:c>
      <x:c r="G684" s="15" t="str">
        <x:v>6/6</x:v>
      </x:c>
      <x:c r="H684" s="18" t="n">
        <x:v>3.33</x:v>
      </x:c>
      <x:c r="I684" s="18" t="n">
        <x:v>3.83</x:v>
      </x:c>
      <x:c r="J684" s="18" t="n">
        <x:v>2.33</x:v>
      </x:c>
      <x:c r="K684" s="18" t="n">
        <x:v>4</x:v>
      </x:c>
      <x:c r="L684" s="18" t="n">
        <x:v>5.67</x:v>
      </x:c>
      <x:c r="M684" s="18" t="n">
        <x:v>5</x:v>
      </x:c>
      <x:c r="N684" s="12" t="str">
        <x:v>Lubricate machinery, change parts, or perform other routine machinery maintenance.</x:v>
      </x:c>
      <x:c r="O684" s="12" t="str">
        <x:v>https://www.onetonline.org/link/summary/49-9043.00</x:v>
      </x:c>
      <x:c r="P684" s="12" t="str">
        <x:v>SOC49 installation, maintenance and repair occupations.</x:v>
      </x:c>
    </x:row>
    <x:row r="685" ht="37.5" customHeight="1">
      <x:c r="A685" s="15" t="str">
        <x:v>784020</x:v>
      </x:c>
      <x:c r="B685" s="12" t="str">
        <x:v>Installation, maintenance, and repair occupations</x:v>
      </x:c>
      <x:c r="C685" s="35" t="str">
        <x:v>49-9044.00</x:v>
      </x:c>
      <x:c r="D685" s="12" t="str">
        <x:v>Millwrights</x:v>
      </x:c>
      <x:c r="E685" s="2" t="str">
        <x:v>Include</x:v>
      </x:c>
      <x:c r="F685" s="2" t="str">
        <x:v>Yes</x:v>
      </x:c>
      <x:c r="G685" s="15" t="str">
        <x:v>6/6</x:v>
      </x:c>
      <x:c r="H685" s="18" t="n">
        <x:v>3.33</x:v>
      </x:c>
      <x:c r="I685" s="18" t="n">
        <x:v>4.67</x:v>
      </x:c>
      <x:c r="J685" s="18" t="n">
        <x:v>2.67</x:v>
      </x:c>
      <x:c r="K685" s="18" t="n">
        <x:v>4.33</x:v>
      </x:c>
      <x:c r="L685" s="18" t="n">
        <x:v>5.67</x:v>
      </x:c>
      <x:c r="M685" s="18" t="n">
        <x:v>5.33</x:v>
      </x:c>
      <x:c r="N685" s="12" t="str">
        <x:v>Install, dismantle, or move machinery and heavy equipment according to layout plans, blueprints, or other drawings.</x:v>
      </x:c>
      <x:c r="O685" s="12" t="str">
        <x:v>https://www.onetonline.org/link/summary/49-9044.00</x:v>
      </x:c>
      <x:c r="P685" s="12" t="str">
        <x:v>SOC49 installation, maintenance and repair occupations.</x:v>
      </x:c>
    </x:row>
    <x:row r="686" ht="37.5" customHeight="1">
      <x:c r="A686" s="15" t="str">
        <x:v>784020</x:v>
      </x:c>
      <x:c r="B686" s="12" t="str">
        <x:v>Installation, maintenance, and repair occupations</x:v>
      </x:c>
      <x:c r="C686" s="35" t="str">
        <x:v>49-9045.00</x:v>
      </x:c>
      <x:c r="D686" s="12" t="str">
        <x:v>Refractory Materials Repairers, Except Brickmasons</x:v>
      </x:c>
      <x:c r="E686" s="2" t="str">
        <x:v>Include</x:v>
      </x:c>
      <x:c r="F686" s="2" t="str">
        <x:v>Yes</x:v>
      </x:c>
      <x:c r="G686" s="15" t="str">
        <x:v>6/6</x:v>
      </x:c>
      <x:c r="H686" s="18" t="n">
        <x:v>2.33</x:v>
      </x:c>
      <x:c r="I686" s="18" t="n">
        <x:v>2.67</x:v>
      </x:c>
      <x:c r="J686" s="18" t="n">
        <x:v>2.33</x:v>
      </x:c>
      <x:c r="K686" s="18" t="n">
        <x:v>3</x:v>
      </x:c>
      <x:c r="L686" s="18" t="n">
        <x:v>5.67</x:v>
      </x:c>
      <x:c r="M686" s="18" t="n">
        <x:v>4.33</x:v>
      </x:c>
      <x:c r="N686" s="12" t="str">
        <x:v>Build or repair equipment such as furnaces, kilns, cupolas, boilers, converters, ladles, soaking pits, and ovens, using refractory materials.</x:v>
      </x:c>
      <x:c r="O686" s="12" t="str">
        <x:v>https://www.onetonline.org/link/summary/49-9045.00</x:v>
      </x:c>
      <x:c r="P686" s="12" t="str">
        <x:v>SOC49 installation, maintenance and repair occupations.</x:v>
      </x:c>
    </x:row>
    <x:row r="687" ht="37.5" customHeight="1">
      <x:c r="A687" s="15" t="str">
        <x:v>784020</x:v>
      </x:c>
      <x:c r="B687" s="12" t="str">
        <x:v>Installation, maintenance, and repair occupations</x:v>
      </x:c>
      <x:c r="C687" s="35" t="str">
        <x:v>49-9051.00</x:v>
      </x:c>
      <x:c r="D687" s="12" t="str">
        <x:v>Electrical Power-Line Installers and Repairers</x:v>
      </x:c>
      <x:c r="E687" s="2" t="str">
        <x:v>Include</x:v>
      </x:c>
      <x:c r="F687" s="2" t="str">
        <x:v>Yes</x:v>
      </x:c>
      <x:c r="G687" s="15" t="str">
        <x:v>6/6</x:v>
      </x:c>
      <x:c r="H687" s="18" t="n">
        <x:v>3</x:v>
      </x:c>
      <x:c r="I687" s="18" t="n">
        <x:v>4.33</x:v>
      </x:c>
      <x:c r="J687" s="18" t="n">
        <x:v>2.33</x:v>
      </x:c>
      <x:c r="K687" s="18" t="n">
        <x:v>3.67</x:v>
      </x:c>
      <x:c r="L687" s="18" t="n">
        <x:v>6.33</x:v>
      </x:c>
      <x:c r="M687" s="18" t="n">
        <x:v>4.67</x:v>
      </x:c>
      <x:c r="N687" s="12" t="str">
        <x:v>Install or repair cables or wires used in electrical power or distribution systems. May erect poles and light or heavy duty transmission towers.</x:v>
      </x:c>
      <x:c r="O687" s="12" t="str">
        <x:v>https://www.onetonline.org/link/summary/49-9051.00</x:v>
      </x:c>
      <x:c r="P687" s="12" t="str">
        <x:v>SOC49 installation, maintenance and repair occupations.</x:v>
      </x:c>
    </x:row>
    <x:row r="688" ht="37.5" customHeight="1">
      <x:c r="A688" s="15" t="str">
        <x:v>784020</x:v>
      </x:c>
      <x:c r="B688" s="12" t="str">
        <x:v>Installation, maintenance, and repair occupations</x:v>
      </x:c>
      <x:c r="C688" s="35" t="str">
        <x:v>49-9052.00</x:v>
      </x:c>
      <x:c r="D688" s="12" t="str">
        <x:v>Telecommunications Line Installers and Repairers</x:v>
      </x:c>
      <x:c r="E688" s="2" t="str">
        <x:v>Include</x:v>
      </x:c>
      <x:c r="F688" s="2" t="str">
        <x:v>Yes</x:v>
      </x:c>
      <x:c r="G688" s="15" t="str">
        <x:v>6/6</x:v>
      </x:c>
      <x:c r="H688" s="18" t="n">
        <x:v>2.33</x:v>
      </x:c>
      <x:c r="I688" s="18" t="n">
        <x:v>3.67</x:v>
      </x:c>
      <x:c r="J688" s="18" t="n">
        <x:v>2.33</x:v>
      </x:c>
      <x:c r="K688" s="18" t="n">
        <x:v>4.33</x:v>
      </x:c>
      <x:c r="L688" s="18" t="n">
        <x:v>5</x:v>
      </x:c>
      <x:c r="M688" s="18" t="n">
        <x:v>4</x:v>
      </x:c>
      <x:c r="N688" s="12" t="str">
        <x:v>Install and repair telecommunications cable, including fiber optics.</x:v>
      </x:c>
      <x:c r="O688" s="12" t="str">
        <x:v>https://www.onetonline.org/link/summary/49-9052.00</x:v>
      </x:c>
      <x:c r="P688" s="12" t="str">
        <x:v>SOC49 installation, maintenance and repair occupations.</x:v>
      </x:c>
    </x:row>
    <x:row r="689" ht="37.5" customHeight="1">
      <x:c r="A689" s="15" t="str">
        <x:v>784020</x:v>
      </x:c>
      <x:c r="B689" s="12" t="str">
        <x:v>Installation, maintenance, and repair occupations</x:v>
      </x:c>
      <x:c r="C689" s="35" t="str">
        <x:v>49-9061.00</x:v>
      </x:c>
      <x:c r="D689" s="12" t="str">
        <x:v>Camera and Photographic Equipment Repairers</x:v>
      </x:c>
      <x:c r="E689" s="2" t="str">
        <x:v>Include</x:v>
      </x:c>
      <x:c r="F689" s="2" t="str">
        <x:v>Yes</x:v>
      </x:c>
      <x:c r="G689" s="15" t="str">
        <x:v>6/6</x:v>
      </x:c>
      <x:c r="H689" s="18" t="n">
        <x:v>4</x:v>
      </x:c>
      <x:c r="I689" s="18" t="n">
        <x:v>3.67</x:v>
      </x:c>
      <x:c r="J689" s="18" t="n">
        <x:v>2.67</x:v>
      </x:c>
      <x:c r="K689" s="18" t="n">
        <x:v>3.33</x:v>
      </x:c>
      <x:c r="L689" s="18" t="n">
        <x:v>3</x:v>
      </x:c>
      <x:c r="M689" s="18" t="n">
        <x:v>4.33</x:v>
      </x:c>
      <x:c r="N689" s="12" t="str">
        <x:v>Repair and adjust cameras and photographic equipment, including commercial video and motion picture camera equipment.</x:v>
      </x:c>
      <x:c r="O689" s="12" t="str">
        <x:v>https://www.onetonline.org/link/summary/49-9061.00</x:v>
      </x:c>
      <x:c r="P689" s="12" t="str">
        <x:v>SOC49 installation, maintenance and repair occupations.</x:v>
      </x:c>
    </x:row>
    <x:row r="690" ht="37.5" customHeight="1">
      <x:c r="A690" s="15" t="str">
        <x:v>784020</x:v>
      </x:c>
      <x:c r="B690" s="12" t="str">
        <x:v>Installation, maintenance, and repair occupations</x:v>
      </x:c>
      <x:c r="C690" s="35" t="str">
        <x:v>49-9062.00</x:v>
      </x:c>
      <x:c r="D690" s="12" t="str">
        <x:v>Medical Equipment Repairers</x:v>
      </x:c>
      <x:c r="E690" s="2" t="str">
        <x:v>Include</x:v>
      </x:c>
      <x:c r="F690" s="2" t="str">
        <x:v>Yes</x:v>
      </x:c>
      <x:c r="G690" s="15" t="str">
        <x:v>6/6</x:v>
      </x:c>
      <x:c r="H690" s="18" t="n">
        <x:v>3.33</x:v>
      </x:c>
      <x:c r="I690" s="18" t="n">
        <x:v>4.33</x:v>
      </x:c>
      <x:c r="J690" s="18" t="n">
        <x:v>3</x:v>
      </x:c>
      <x:c r="K690" s="18" t="n">
        <x:v>4.67</x:v>
      </x:c>
      <x:c r="L690" s="18" t="n">
        <x:v>5.33</x:v>
      </x:c>
      <x:c r="M690" s="18" t="n">
        <x:v>4.67</x:v>
      </x:c>
      <x:c r="N690" s="12" t="str">
        <x:v>Test, adjust, or repair biomedical or electromedical equipment.</x:v>
      </x:c>
      <x:c r="O690" s="12" t="str">
        <x:v>https://www.onetonline.org/link/summary/49-9062.00</x:v>
      </x:c>
      <x:c r="P690" s="12" t="str">
        <x:v>SOC49 installation, maintenance and repair occupations.</x:v>
      </x:c>
    </x:row>
    <x:row r="691" ht="37.5" customHeight="1">
      <x:c r="A691" s="15" t="str">
        <x:v>784020</x:v>
      </x:c>
      <x:c r="B691" s="12" t="str">
        <x:v>Installation, maintenance, and repair occupations</x:v>
      </x:c>
      <x:c r="C691" s="35" t="str">
        <x:v>49-9063.00</x:v>
      </x:c>
      <x:c r="D691" s="12" t="str">
        <x:v>Musical Instrument Repairers and Tuners</x:v>
      </x:c>
      <x:c r="E691" s="2" t="str">
        <x:v>Include</x:v>
      </x:c>
      <x:c r="F691" s="2" t="str">
        <x:v>Yes</x:v>
      </x:c>
      <x:c r="G691" s="15" t="str">
        <x:v>6/6</x:v>
      </x:c>
      <x:c r="H691" s="18" t="n">
        <x:v>4.33</x:v>
      </x:c>
      <x:c r="I691" s="18" t="n">
        <x:v>3.17</x:v>
      </x:c>
      <x:c r="J691" s="18" t="n">
        <x:v>2.67</x:v>
      </x:c>
      <x:c r="K691" s="18" t="n">
        <x:v>2.67</x:v>
      </x:c>
      <x:c r="L691" s="18" t="n">
        <x:v>2.67</x:v>
      </x:c>
      <x:c r="M691" s="18" t="n">
        <x:v>4.33</x:v>
      </x:c>
      <x:c r="N691" s="12" t="str">
        <x:v>Repair percussion, stringed, reed, or wind instruments. May specialize in one area, such as piano tuning.</x:v>
      </x:c>
      <x:c r="O691" s="12" t="str">
        <x:v>https://www.onetonline.org/link/summary/49-9063.00</x:v>
      </x:c>
      <x:c r="P691" s="12" t="str">
        <x:v>SOC49 installation, maintenance and repair occupations.</x:v>
      </x:c>
    </x:row>
    <x:row r="692" ht="37.5" customHeight="1">
      <x:c r="A692" s="15" t="str">
        <x:v>784020</x:v>
      </x:c>
      <x:c r="B692" s="12" t="str">
        <x:v>Installation, maintenance, and repair occupations</x:v>
      </x:c>
      <x:c r="C692" s="35" t="str">
        <x:v>49-9064.00</x:v>
      </x:c>
      <x:c r="D692" s="12" t="str">
        <x:v>Watch and Clock Repairers</x:v>
      </x:c>
      <x:c r="E692" s="2" t="str">
        <x:v>Include</x:v>
      </x:c>
      <x:c r="F692" s="2" t="str">
        <x:v>Yes</x:v>
      </x:c>
      <x:c r="G692" s="15" t="str">
        <x:v>6/6</x:v>
      </x:c>
      <x:c r="H692" s="18" t="n">
        <x:v>3</x:v>
      </x:c>
      <x:c r="I692" s="18" t="n">
        <x:v>3</x:v>
      </x:c>
      <x:c r="J692" s="18" t="n">
        <x:v>2.33</x:v>
      </x:c>
      <x:c r="K692" s="18" t="n">
        <x:v>3</x:v>
      </x:c>
      <x:c r="L692" s="18" t="n">
        <x:v>3</x:v>
      </x:c>
      <x:c r="M692" s="18" t="n">
        <x:v>3.67</x:v>
      </x:c>
      <x:c r="N692" s="12" t="str">
        <x:v>Repair, clean, and adjust mechanisms of timing instruments, such as watches and clocks. Includes watchmakers, watch technicians, and mechanical timepiece repairers.</x:v>
      </x:c>
      <x:c r="O692" s="12" t="str">
        <x:v>https://www.onetonline.org/link/summary/49-9064.00</x:v>
      </x:c>
      <x:c r="P692" s="12" t="str">
        <x:v>SOC49 installation, maintenance and repair occupations.</x:v>
      </x:c>
    </x:row>
    <x:row r="693" ht="37.5" customHeight="1">
      <x:c r="A693" s="15" t="str">
        <x:v>784020</x:v>
      </x:c>
      <x:c r="B693" s="12" t="str">
        <x:v>Installation, maintenance, and repair occupations</x:v>
      </x:c>
      <x:c r="C693" s="35" t="str">
        <x:v>49-9069.00</x:v>
      </x:c>
      <x:c r="D693" s="12" t="str">
        <x:v>Precision Instrument and Equipment Repairers, All Other</x:v>
      </x:c>
      <x:c r="E693" s="2" t="str">
        <x:v>Exclude (no Work Values)</x:v>
      </x:c>
      <x:c r="F693" s="2" t="str">
        <x:v>Yes</x:v>
      </x:c>
      <x:c r="G693" s="15" t="str">
        <x:v>0/6</x:v>
      </x:c>
      <x:c r="H693" s="18"/>
      <x:c r="I693" s="18"/>
      <x:c r="J693" s="18"/>
      <x:c r="K693" s="18"/>
      <x:c r="L693" s="18"/>
      <x:c r="M693" s="18"/>
      <x:c r="N693" s="12" t="str">
        <x:v>All precision instrument and equipment repairers not listed separately.</x:v>
      </x:c>
      <x:c r="O693" s="12" t="str">
        <x:v>https://www.onetonline.org/link/summary/49-9069.00</x:v>
      </x:c>
      <x:c r="P693" s="12" t="str">
        <x:v>SOC49 installation, maintenance and repair occupations.</x:v>
      </x:c>
    </x:row>
    <x:row r="694" ht="37.5" customHeight="1">
      <x:c r="A694" s="15" t="str">
        <x:v>784020</x:v>
      </x:c>
      <x:c r="B694" s="12" t="str">
        <x:v>Installation, maintenance, and repair occupations</x:v>
      </x:c>
      <x:c r="C694" s="35" t="str">
        <x:v>49-9071.00</x:v>
      </x:c>
      <x:c r="D694" s="12" t="str">
        <x:v>Maintenance and Repair Workers, General</x:v>
      </x:c>
      <x:c r="E694" s="2" t="str">
        <x:v>Include</x:v>
      </x:c>
      <x:c r="F694" s="2" t="str">
        <x:v>Yes</x:v>
      </x:c>
      <x:c r="G694" s="15" t="str">
        <x:v>6/6</x:v>
      </x:c>
      <x:c r="H694" s="18" t="n">
        <x:v>3.33</x:v>
      </x:c>
      <x:c r="I694" s="18" t="n">
        <x:v>3.67</x:v>
      </x:c>
      <x:c r="J694" s="18" t="n">
        <x:v>2.67</x:v>
      </x:c>
      <x:c r="K694" s="18" t="n">
        <x:v>4</x:v>
      </x:c>
      <x:c r="L694" s="18" t="n">
        <x:v>5</x:v>
      </x:c>
      <x:c r="M694" s="18" t="n">
        <x:v>4</x:v>
      </x:c>
      <x:c r="N694" s="12" t="str">
        <x:v>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x:v>
      </x:c>
      <x:c r="O694" s="12" t="str">
        <x:v>https://www.onetonline.org/link/summary/49-9071.00</x:v>
      </x:c>
      <x:c r="P694" s="12" t="str">
        <x:v>SOC49 installation, maintenance and repair occupations.</x:v>
      </x:c>
    </x:row>
    <x:row r="695" ht="37.5" customHeight="1">
      <x:c r="A695" s="15" t="str">
        <x:v>784020</x:v>
      </x:c>
      <x:c r="B695" s="12" t="str">
        <x:v>Installation, maintenance, and repair occupations</x:v>
      </x:c>
      <x:c r="C695" s="35" t="str">
        <x:v>49-9081.00</x:v>
      </x:c>
      <x:c r="D695" s="12" t="str">
        <x:v>Wind Turbine Service Technicians</x:v>
      </x:c>
      <x:c r="E695" s="2" t="str">
        <x:v>Include</x:v>
      </x:c>
      <x:c r="F695" s="2" t="str">
        <x:v>Yes</x:v>
      </x:c>
      <x:c r="G695" s="15" t="str">
        <x:v>6/6</x:v>
      </x:c>
      <x:c r="H695" s="18" t="n">
        <x:v>4</x:v>
      </x:c>
      <x:c r="I695" s="18" t="n">
        <x:v>3.83</x:v>
      </x:c>
      <x:c r="J695" s="18" t="n">
        <x:v>3</x:v>
      </x:c>
      <x:c r="K695" s="18" t="n">
        <x:v>3.67</x:v>
      </x:c>
      <x:c r="L695" s="18" t="n">
        <x:v>4.33</x:v>
      </x:c>
      <x:c r="M695" s="18" t="n">
        <x:v>3</x:v>
      </x:c>
      <x:c r="N695" s="12" t="str">
        <x:v>Inspect, diagnose, adjust, or repair wind turbines. Perform maintenance on wind turbine equipment including resolving electrical, mechanical, and hydraulic malfunctions.</x:v>
      </x:c>
      <x:c r="O695" s="12" t="str">
        <x:v>https://www.onetonline.org/link/summary/49-9081.00</x:v>
      </x:c>
      <x:c r="P695" s="12" t="str">
        <x:v>SOC49 installation, maintenance and repair occupations.</x:v>
      </x:c>
    </x:row>
    <x:row r="696" ht="37.5" customHeight="1">
      <x:c r="A696" s="15" t="str">
        <x:v>784020</x:v>
      </x:c>
      <x:c r="B696" s="12" t="str">
        <x:v>Installation, maintenance, and repair occupations</x:v>
      </x:c>
      <x:c r="C696" s="35" t="str">
        <x:v>49-9091.00</x:v>
      </x:c>
      <x:c r="D696" s="12" t="str">
        <x:v>Coin, Vending, and Amusement Machine Servicers and Repairers</x:v>
      </x:c>
      <x:c r="E696" s="2" t="str">
        <x:v>Include</x:v>
      </x:c>
      <x:c r="F696" s="2" t="str">
        <x:v>Yes</x:v>
      </x:c>
      <x:c r="G696" s="15" t="str">
        <x:v>6/6</x:v>
      </x:c>
      <x:c r="H696" s="18" t="n">
        <x:v>2.67</x:v>
      </x:c>
      <x:c r="I696" s="18" t="n">
        <x:v>3</x:v>
      </x:c>
      <x:c r="J696" s="18" t="n">
        <x:v>2.33</x:v>
      </x:c>
      <x:c r="K696" s="18" t="n">
        <x:v>4.67</x:v>
      </x:c>
      <x:c r="L696" s="18" t="n">
        <x:v>3.67</x:v>
      </x:c>
      <x:c r="M696" s="18" t="n">
        <x:v>4.67</x:v>
      </x:c>
      <x:c r="N696" s="12" t="str">
        <x:v>Install, service, adjust, or repair coin, vending, or amusement machines including video games, juke boxes, pinball machines, or slot machines.</x:v>
      </x:c>
      <x:c r="O696" s="12" t="str">
        <x:v>https://www.onetonline.org/link/summary/49-9091.00</x:v>
      </x:c>
      <x:c r="P696" s="12" t="str">
        <x:v>SOC49 installation, maintenance and repair occupations.</x:v>
      </x:c>
    </x:row>
    <x:row r="697" ht="37.5" customHeight="1">
      <x:c r="A697" s="15" t="str">
        <x:v>784020</x:v>
      </x:c>
      <x:c r="B697" s="12" t="str">
        <x:v>Installation, maintenance, and repair occupations</x:v>
      </x:c>
      <x:c r="C697" s="35" t="str">
        <x:v>49-9092.00</x:v>
      </x:c>
      <x:c r="D697" s="12" t="str">
        <x:v>Commercial Divers</x:v>
      </x:c>
      <x:c r="E697" s="2" t="str">
        <x:v>Include</x:v>
      </x:c>
      <x:c r="F697" s="2" t="str">
        <x:v>Yes</x:v>
      </x:c>
      <x:c r="G697" s="15" t="str">
        <x:v>6/6</x:v>
      </x:c>
      <x:c r="H697" s="18" t="n">
        <x:v>3</x:v>
      </x:c>
      <x:c r="I697" s="18" t="n">
        <x:v>4.33</x:v>
      </x:c>
      <x:c r="J697" s="18" t="n">
        <x:v>2.67</x:v>
      </x:c>
      <x:c r="K697" s="18" t="n">
        <x:v>3.33</x:v>
      </x:c>
      <x:c r="L697" s="18" t="n">
        <x:v>5.33</x:v>
      </x:c>
      <x:c r="M697" s="18" t="n">
        <x:v>5</x:v>
      </x:c>
      <x:c r="N697" s="12" t="str">
        <x:v>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x:v>
      </x:c>
      <x:c r="O697" s="12" t="str">
        <x:v>https://www.onetonline.org/link/summary/49-9092.00</x:v>
      </x:c>
      <x:c r="P697" s="12" t="str">
        <x:v>SOC49 installation, maintenance and repair occupations.</x:v>
      </x:c>
    </x:row>
    <x:row r="698" ht="37.5" customHeight="1">
      <x:c r="A698" s="15" t="str">
        <x:v>784020</x:v>
      </x:c>
      <x:c r="B698" s="12" t="str">
        <x:v>Installation, maintenance, and repair occupations</x:v>
      </x:c>
      <x:c r="C698" s="35" t="str">
        <x:v>49-9094.00</x:v>
      </x:c>
      <x:c r="D698" s="12" t="str">
        <x:v>Locksmiths and Safe Repairers</x:v>
      </x:c>
      <x:c r="E698" s="2" t="str">
        <x:v>Include</x:v>
      </x:c>
      <x:c r="F698" s="2" t="str">
        <x:v>Yes</x:v>
      </x:c>
      <x:c r="G698" s="15" t="str">
        <x:v>6/6</x:v>
      </x:c>
      <x:c r="H698" s="18" t="n">
        <x:v>3.33</x:v>
      </x:c>
      <x:c r="I698" s="18" t="n">
        <x:v>3.67</x:v>
      </x:c>
      <x:c r="J698" s="18" t="n">
        <x:v>3</x:v>
      </x:c>
      <x:c r="K698" s="18" t="n">
        <x:v>3.33</x:v>
      </x:c>
      <x:c r="L698" s="18" t="n">
        <x:v>3</x:v>
      </x:c>
      <x:c r="M698" s="18" t="n">
        <x:v>4.67</x:v>
      </x:c>
      <x:c r="N698" s="12" t="str">
        <x:v>Repair and open locks, make keys, change locks and safe combinations, and install and repair safes.</x:v>
      </x:c>
      <x:c r="O698" s="12" t="str">
        <x:v>https://www.onetonline.org/link/summary/49-9094.00</x:v>
      </x:c>
      <x:c r="P698" s="12" t="str">
        <x:v>SOC49 installation, maintenance and repair occupations.</x:v>
      </x:c>
    </x:row>
    <x:row r="699" ht="37.5" customHeight="1">
      <x:c r="A699" s="15" t="str">
        <x:v>784020</x:v>
      </x:c>
      <x:c r="B699" s="12" t="str">
        <x:v>Installation, maintenance, and repair occupations</x:v>
      </x:c>
      <x:c r="C699" s="35" t="str">
        <x:v>49-9095.00</x:v>
      </x:c>
      <x:c r="D699" s="12" t="str">
        <x:v>Manufactured Building and Mobile Home Installers</x:v>
      </x:c>
      <x:c r="E699" s="2" t="str">
        <x:v>Include</x:v>
      </x:c>
      <x:c r="F699" s="2" t="str">
        <x:v>Yes</x:v>
      </x:c>
      <x:c r="G699" s="15" t="str">
        <x:v>6/6</x:v>
      </x:c>
      <x:c r="H699" s="18" t="n">
        <x:v>3</x:v>
      </x:c>
      <x:c r="I699" s="18" t="n">
        <x:v>3.33</x:v>
      </x:c>
      <x:c r="J699" s="18" t="n">
        <x:v>2.33</x:v>
      </x:c>
      <x:c r="K699" s="18" t="n">
        <x:v>5</x:v>
      </x:c>
      <x:c r="L699" s="18" t="n">
        <x:v>5.33</x:v>
      </x:c>
      <x:c r="M699" s="18" t="n">
        <x:v>4</x:v>
      </x:c>
      <x:c r="N699" s="12" t="str">
        <x:v>Move or install mobile homes or prefabricated buildings.</x:v>
      </x:c>
      <x:c r="O699" s="12" t="str">
        <x:v>https://www.onetonline.org/link/summary/49-9095.00</x:v>
      </x:c>
      <x:c r="P699" s="12" t="str">
        <x:v>SOC49 installation, maintenance and repair occupations.</x:v>
      </x:c>
    </x:row>
    <x:row r="700" ht="37.5" customHeight="1">
      <x:c r="A700" s="15" t="str">
        <x:v>784020</x:v>
      </x:c>
      <x:c r="B700" s="12" t="str">
        <x:v>Installation, maintenance, and repair occupations</x:v>
      </x:c>
      <x:c r="C700" s="35" t="str">
        <x:v>49-9096.00</x:v>
      </x:c>
      <x:c r="D700" s="12" t="str">
        <x:v>Riggers</x:v>
      </x:c>
      <x:c r="E700" s="2" t="str">
        <x:v>Include</x:v>
      </x:c>
      <x:c r="F700" s="2" t="str">
        <x:v>Yes</x:v>
      </x:c>
      <x:c r="G700" s="15" t="str">
        <x:v>6/6</x:v>
      </x:c>
      <x:c r="H700" s="18" t="n">
        <x:v>2.67</x:v>
      </x:c>
      <x:c r="I700" s="18" t="n">
        <x:v>3.33</x:v>
      </x:c>
      <x:c r="J700" s="18" t="n">
        <x:v>2.67</x:v>
      </x:c>
      <x:c r="K700" s="18" t="n">
        <x:v>5.33</x:v>
      </x:c>
      <x:c r="L700" s="18" t="n">
        <x:v>5</x:v>
      </x:c>
      <x:c r="M700" s="18" t="n">
        <x:v>3.33</x:v>
      </x:c>
      <x:c r="N700" s="12" t="str">
        <x:v>Set up or repair rigging for construction projects, manufacturing plants, logging yards, ships and shipyards, or for the entertainment industry.</x:v>
      </x:c>
      <x:c r="O700" s="12" t="str">
        <x:v>https://www.onetonline.org/link/summary/49-9096.00</x:v>
      </x:c>
      <x:c r="P700" s="12" t="str">
        <x:v>SOC49 installation, maintenance and repair occupations.</x:v>
      </x:c>
    </x:row>
    <x:row r="701" ht="37.5" customHeight="1">
      <x:c r="A701" s="15" t="str">
        <x:v>784020</x:v>
      </x:c>
      <x:c r="B701" s="12" t="str">
        <x:v>Installation, maintenance, and repair occupations</x:v>
      </x:c>
      <x:c r="C701" s="35" t="str">
        <x:v>49-9097.00</x:v>
      </x:c>
      <x:c r="D701" s="12" t="str">
        <x:v>Signal and Track Switch Repairers</x:v>
      </x:c>
      <x:c r="E701" s="2" t="str">
        <x:v>Include</x:v>
      </x:c>
      <x:c r="F701" s="2" t="str">
        <x:v>Yes</x:v>
      </x:c>
      <x:c r="G701" s="15" t="str">
        <x:v>6/6</x:v>
      </x:c>
      <x:c r="H701" s="18" t="n">
        <x:v>3.33</x:v>
      </x:c>
      <x:c r="I701" s="18" t="n">
        <x:v>4.17</x:v>
      </x:c>
      <x:c r="J701" s="18" t="n">
        <x:v>2.33</x:v>
      </x:c>
      <x:c r="K701" s="18" t="n">
        <x:v>3.67</x:v>
      </x:c>
      <x:c r="L701" s="18" t="n">
        <x:v>5.33</x:v>
      </x:c>
      <x:c r="M701" s="18" t="n">
        <x:v>4.33</x:v>
      </x:c>
      <x:c r="N701" s="12" t="str">
        <x:v>Install, inspect, test, maintain, or repair electric gate crossings, signals, signal equipment, track switches, section lines, or intercommunications systems within a railroad system.</x:v>
      </x:c>
      <x:c r="O701" s="12" t="str">
        <x:v>https://www.onetonline.org/link/summary/49-9097.00</x:v>
      </x:c>
      <x:c r="P701" s="12" t="str">
        <x:v>SOC49 installation, maintenance and repair occupations.</x:v>
      </x:c>
    </x:row>
    <x:row r="702" ht="37.5" customHeight="1">
      <x:c r="A702" s="15" t="str">
        <x:v>784020</x:v>
      </x:c>
      <x:c r="B702" s="12" t="str">
        <x:v>Installation, maintenance, and repair occupations</x:v>
      </x:c>
      <x:c r="C702" s="35" t="str">
        <x:v>49-9098.00</x:v>
      </x:c>
      <x:c r="D702" s="12" t="str">
        <x:v>Helpers--Installation, Maintenance, and Repair Workers</x:v>
      </x:c>
      <x:c r="E702" s="2" t="str">
        <x:v>Include</x:v>
      </x:c>
      <x:c r="F702" s="2" t="str">
        <x:v>Yes</x:v>
      </x:c>
      <x:c r="G702" s="15" t="str">
        <x:v>6/6</x:v>
      </x:c>
      <x:c r="H702" s="18" t="n">
        <x:v>2</x:v>
      </x:c>
      <x:c r="I702" s="18" t="n">
        <x:v>2.17</x:v>
      </x:c>
      <x:c r="J702" s="18" t="n">
        <x:v>2</x:v>
      </x:c>
      <x:c r="K702" s="18" t="n">
        <x:v>5.33</x:v>
      </x:c>
      <x:c r="L702" s="18" t="n">
        <x:v>4</x:v>
      </x:c>
      <x:c r="M702" s="18" t="n">
        <x:v>2.67</x:v>
      </x:c>
      <x:c r="N702" s="12" t="str">
        <x:v>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x:v>
      </x:c>
      <x:c r="O702" s="12" t="str">
        <x:v>https://www.onetonline.org/link/summary/49-9098.00</x:v>
      </x:c>
      <x:c r="P702" s="12" t="str">
        <x:v>SOC49 installation, maintenance and repair occupations.</x:v>
      </x:c>
    </x:row>
    <x:row r="703" ht="37.5" customHeight="1">
      <x:c r="A703" s="15" t="str">
        <x:v>784020</x:v>
      </x:c>
      <x:c r="B703" s="12" t="str">
        <x:v>Installation, maintenance, and repair occupations</x:v>
      </x:c>
      <x:c r="C703" s="35" t="str">
        <x:v>49-9099.00</x:v>
      </x:c>
      <x:c r="D703" s="12" t="str">
        <x:v>Installation, Maintenance, and Repair Workers, All Other</x:v>
      </x:c>
      <x:c r="E703" s="2" t="str">
        <x:v>Exclude (no Work Values)</x:v>
      </x:c>
      <x:c r="F703" s="2" t="str">
        <x:v>Yes</x:v>
      </x:c>
      <x:c r="G703" s="15" t="str">
        <x:v>0/6</x:v>
      </x:c>
      <x:c r="H703" s="18"/>
      <x:c r="I703" s="18"/>
      <x:c r="J703" s="18"/>
      <x:c r="K703" s="18"/>
      <x:c r="L703" s="18"/>
      <x:c r="M703" s="18"/>
      <x:c r="N703" s="12" t="str">
        <x:v>All installation, maintenance, and repair workers not listed separately.</x:v>
      </x:c>
      <x:c r="O703" s="12" t="str">
        <x:v>https://www.onetonline.org/link/summary/49-9099.00</x:v>
      </x:c>
      <x:c r="P703" s="12" t="str">
        <x:v>SOC49 installation, maintenance and repair occupations.</x:v>
      </x:c>
    </x:row>
    <x:row r="704" ht="37.5" customHeight="1">
      <x:c r="A704" s="15" t="str">
        <x:v>784030</x:v>
      </x:c>
      <x:c r="B704" s="12" t="str">
        <x:v>Production occupations (e.g., assemblers, bakers, metal workers, tailors, woodworkers)</x:v>
      </x:c>
      <x:c r="C704" s="35" t="str">
        <x:v>51-1011.00</x:v>
      </x:c>
      <x:c r="D704" s="12" t="str">
        <x:v>First-Line Supervisors of Production and Operating Workers</x:v>
      </x:c>
      <x:c r="E704" s="2" t="str">
        <x:v>Include</x:v>
      </x:c>
      <x:c r="F704" s="2" t="str">
        <x:v>Yes</x:v>
      </x:c>
      <x:c r="G704" s="15" t="str">
        <x:v>6/6</x:v>
      </x:c>
      <x:c r="H704" s="18" t="n">
        <x:v>5</x:v>
      </x:c>
      <x:c r="I704" s="18" t="n">
        <x:v>4.67</x:v>
      </x:c>
      <x:c r="J704" s="18" t="n">
        <x:v>4.67</x:v>
      </x:c>
      <x:c r="K704" s="18" t="n">
        <x:v>5</x:v>
      </x:c>
      <x:c r="L704" s="18" t="n">
        <x:v>5.33</x:v>
      </x:c>
      <x:c r="M704" s="18" t="n">
        <x:v>5.67</x:v>
      </x:c>
      <x:c r="N704" s="12" t="str">
        <x:v>Directly supervise and coordinate the activities of production and operating workers, such as inspectors, precision workers, machine setters and operators, assemblers, fabricators, and plant and system operators. Excludes team or work leaders.</x:v>
      </x:c>
      <x:c r="O704" s="12" t="str">
        <x:v>https://www.onetonline.org/link/summary/51-1011.00</x:v>
      </x:c>
      <x:c r="P704" s="12" t="str">
        <x:v>SOC51 production occupations.</x:v>
      </x:c>
    </x:row>
    <x:row r="705" ht="37.5" customHeight="1">
      <x:c r="A705" s="15" t="str">
        <x:v>784030</x:v>
      </x:c>
      <x:c r="B705" s="12" t="str">
        <x:v>Production occupations (e.g., assemblers, bakers, metal workers, tailors, woodworkers)</x:v>
      </x:c>
      <x:c r="C705" s="35" t="str">
        <x:v>51-2011.00</x:v>
      </x:c>
      <x:c r="D705" s="12" t="str">
        <x:v>Aircraft Structure, Surfaces, Rigging, and Systems Assemblers</x:v>
      </x:c>
      <x:c r="E705" s="2" t="str">
        <x:v>Include</x:v>
      </x:c>
      <x:c r="F705" s="2" t="str">
        <x:v>Yes</x:v>
      </x:c>
      <x:c r="G705" s="15" t="str">
        <x:v>6/6</x:v>
      </x:c>
      <x:c r="H705" s="18" t="n">
        <x:v>3.33</x:v>
      </x:c>
      <x:c r="I705" s="18" t="n">
        <x:v>3.83</x:v>
      </x:c>
      <x:c r="J705" s="18" t="n">
        <x:v>3</x:v>
      </x:c>
      <x:c r="K705" s="18" t="n">
        <x:v>4.33</x:v>
      </x:c>
      <x:c r="L705" s="18" t="n">
        <x:v>6.67</x:v>
      </x:c>
      <x:c r="M705" s="18" t="n">
        <x:v>3.33</x:v>
      </x:c>
      <x:c r="N705" s="12" t="str">
        <x:v>Assemble, fit, fasten, and install parts of airplanes, space vehicles, or missiles, such as tails, wings, fuselage, bulkheads, stabilizers, landing gear, rigging and control equipment, or heating and ventilating systems.</x:v>
      </x:c>
      <x:c r="O705" s="12" t="str">
        <x:v>https://www.onetonline.org/link/summary/51-2011.00</x:v>
      </x:c>
      <x:c r="P705" s="12" t="str">
        <x:v>SOC51 production occupations.</x:v>
      </x:c>
    </x:row>
    <x:row r="706" ht="37.5" customHeight="1">
      <x:c r="A706" s="15" t="str">
        <x:v>784030</x:v>
      </x:c>
      <x:c r="B706" s="12" t="str">
        <x:v>Production occupations (e.g., assemblers, bakers, metal workers, tailors, woodworkers)</x:v>
      </x:c>
      <x:c r="C706" s="35" t="str">
        <x:v>51-2021.00</x:v>
      </x:c>
      <x:c r="D706" s="12" t="str">
        <x:v>Coil Winders, Tapers, and Finishers</x:v>
      </x:c>
      <x:c r="E706" s="2" t="str">
        <x:v>Include</x:v>
      </x:c>
      <x:c r="F706" s="2" t="str">
        <x:v>Yes</x:v>
      </x:c>
      <x:c r="G706" s="15" t="str">
        <x:v>6/6</x:v>
      </x:c>
      <x:c r="H706" s="18" t="n">
        <x:v>2</x:v>
      </x:c>
      <x:c r="I706" s="18" t="n">
        <x:v>2.5</x:v>
      </x:c>
      <x:c r="J706" s="18" t="n">
        <x:v>1.33</x:v>
      </x:c>
      <x:c r="K706" s="18" t="n">
        <x:v>2.33</x:v>
      </x:c>
      <x:c r="L706" s="18" t="n">
        <x:v>4.67</x:v>
      </x:c>
      <x:c r="M706" s="18" t="n">
        <x:v>2.33</x:v>
      </x:c>
      <x:c r="N706" s="12" t="str">
        <x:v>Wind wire coils used in electrical components, such as resistors and transformers, and in electrical equipment and instruments, such as field cores, bobbins, armature cores, electrical motors, generators, and control equipment.</x:v>
      </x:c>
      <x:c r="O706" s="12" t="str">
        <x:v>https://www.onetonline.org/link/summary/51-2021.00</x:v>
      </x:c>
      <x:c r="P706" s="12" t="str">
        <x:v>SOC51 production occupations.</x:v>
      </x:c>
    </x:row>
    <x:row r="707" ht="37.5" customHeight="1">
      <x:c r="A707" s="15" t="str">
        <x:v>784030</x:v>
      </x:c>
      <x:c r="B707" s="12" t="str">
        <x:v>Production occupations (e.g., assemblers, bakers, metal workers, tailors, woodworkers)</x:v>
      </x:c>
      <x:c r="C707" s="35" t="str">
        <x:v>51-2022.00</x:v>
      </x:c>
      <x:c r="D707" s="12" t="str">
        <x:v>Electrical and Electronic Equipment Assemblers</x:v>
      </x:c>
      <x:c r="E707" s="2" t="str">
        <x:v>Include</x:v>
      </x:c>
      <x:c r="F707" s="2" t="str">
        <x:v>Yes</x:v>
      </x:c>
      <x:c r="G707" s="15" t="str">
        <x:v>6/6</x:v>
      </x:c>
      <x:c r="H707" s="18" t="n">
        <x:v>2</x:v>
      </x:c>
      <x:c r="I707" s="18" t="n">
        <x:v>2.5</x:v>
      </x:c>
      <x:c r="J707" s="18" t="n">
        <x:v>2</x:v>
      </x:c>
      <x:c r="K707" s="18" t="n">
        <x:v>4.67</x:v>
      </x:c>
      <x:c r="L707" s="18" t="n">
        <x:v>5.67</x:v>
      </x:c>
      <x:c r="M707" s="18" t="n">
        <x:v>2.67</x:v>
      </x:c>
      <x:c r="N707" s="12" t="str">
        <x:v>Assemble or modify electrical or electronic equipment, such as computers, test equipment telemetering systems, electric motors, and batteries.</x:v>
      </x:c>
      <x:c r="O707" s="12" t="str">
        <x:v>https://www.onetonline.org/link/summary/51-2022.00</x:v>
      </x:c>
      <x:c r="P707" s="12" t="str">
        <x:v>SOC51 production occupations.</x:v>
      </x:c>
    </x:row>
    <x:row r="708" ht="37.5" customHeight="1">
      <x:c r="A708" s="15" t="str">
        <x:v>784030</x:v>
      </x:c>
      <x:c r="B708" s="12" t="str">
        <x:v>Production occupations (e.g., assemblers, bakers, metal workers, tailors, woodworkers)</x:v>
      </x:c>
      <x:c r="C708" s="35" t="str">
        <x:v>51-2023.00</x:v>
      </x:c>
      <x:c r="D708" s="12" t="str">
        <x:v>Electromechanical Equipment Assemblers</x:v>
      </x:c>
      <x:c r="E708" s="2" t="str">
        <x:v>Include</x:v>
      </x:c>
      <x:c r="F708" s="2" t="str">
        <x:v>Yes</x:v>
      </x:c>
      <x:c r="G708" s="15" t="str">
        <x:v>6/6</x:v>
      </x:c>
      <x:c r="H708" s="18" t="n">
        <x:v>2.67</x:v>
      </x:c>
      <x:c r="I708" s="18" t="n">
        <x:v>2.83</x:v>
      </x:c>
      <x:c r="J708" s="18" t="n">
        <x:v>2.33</x:v>
      </x:c>
      <x:c r="K708" s="18" t="n">
        <x:v>4.67</x:v>
      </x:c>
      <x:c r="L708" s="18" t="n">
        <x:v>5.33</x:v>
      </x:c>
      <x:c r="M708" s="18" t="n">
        <x:v>2.33</x:v>
      </x:c>
      <x:c r="N708" s="12" t="str">
        <x:v>Assemble or modify electromechanical equipment or devices, such as servomechanisms, gyros, dynamometers, magnetic drums, tape drives, brakes, control linkage, actuators, and appliances.</x:v>
      </x:c>
      <x:c r="O708" s="12" t="str">
        <x:v>https://www.onetonline.org/link/summary/51-2023.00</x:v>
      </x:c>
      <x:c r="P708" s="12" t="str">
        <x:v>SOC51 production occupations.</x:v>
      </x:c>
    </x:row>
    <x:row r="709" ht="37.5" customHeight="1">
      <x:c r="A709" s="15" t="str">
        <x:v>784030</x:v>
      </x:c>
      <x:c r="B709" s="12" t="str">
        <x:v>Production occupations (e.g., assemblers, bakers, metal workers, tailors, woodworkers)</x:v>
      </x:c>
      <x:c r="C709" s="35" t="str">
        <x:v>51-2031.00</x:v>
      </x:c>
      <x:c r="D709" s="12" t="str">
        <x:v>Engine and Other Machine Assemblers</x:v>
      </x:c>
      <x:c r="E709" s="2" t="str">
        <x:v>Include</x:v>
      </x:c>
      <x:c r="F709" s="2" t="str">
        <x:v>Yes</x:v>
      </x:c>
      <x:c r="G709" s="15" t="str">
        <x:v>6/6</x:v>
      </x:c>
      <x:c r="H709" s="18" t="n">
        <x:v>3.33</x:v>
      </x:c>
      <x:c r="I709" s="18" t="n">
        <x:v>3.33</x:v>
      </x:c>
      <x:c r="J709" s="18" t="n">
        <x:v>3</x:v>
      </x:c>
      <x:c r="K709" s="18" t="n">
        <x:v>4.67</x:v>
      </x:c>
      <x:c r="L709" s="18" t="n">
        <x:v>5.33</x:v>
      </x:c>
      <x:c r="M709" s="18" t="n">
        <x:v>3.67</x:v>
      </x:c>
      <x:c r="N709" s="12" t="str">
        <x:v>Construct, assemble, or rebuild machines, such as engines, turbines, and similar equipment used in such industries as construction, extraction, textiles, and paper manufacturing.</x:v>
      </x:c>
      <x:c r="O709" s="12" t="str">
        <x:v>https://www.onetonline.org/link/summary/51-2031.00</x:v>
      </x:c>
      <x:c r="P709" s="12" t="str">
        <x:v>SOC51 production occupations.</x:v>
      </x:c>
    </x:row>
    <x:row r="710" ht="37.5" customHeight="1">
      <x:c r="A710" s="15" t="str">
        <x:v>784030</x:v>
      </x:c>
      <x:c r="B710" s="12" t="str">
        <x:v>Production occupations (e.g., assemblers, bakers, metal workers, tailors, woodworkers)</x:v>
      </x:c>
      <x:c r="C710" s="35" t="str">
        <x:v>51-2041.00</x:v>
      </x:c>
      <x:c r="D710" s="12" t="str">
        <x:v>Structural Metal Fabricators and Fitters</x:v>
      </x:c>
      <x:c r="E710" s="2" t="str">
        <x:v>Include</x:v>
      </x:c>
      <x:c r="F710" s="2" t="str">
        <x:v>Yes</x:v>
      </x:c>
      <x:c r="G710" s="15" t="str">
        <x:v>6/6</x:v>
      </x:c>
      <x:c r="H710" s="18" t="n">
        <x:v>3</x:v>
      </x:c>
      <x:c r="I710" s="18" t="n">
        <x:v>3.33</x:v>
      </x:c>
      <x:c r="J710" s="18" t="n">
        <x:v>2.33</x:v>
      </x:c>
      <x:c r="K710" s="18" t="n">
        <x:v>3.33</x:v>
      </x:c>
      <x:c r="L710" s="18" t="n">
        <x:v>5</x:v>
      </x:c>
      <x:c r="M710" s="18" t="n">
        <x:v>2.33</x:v>
      </x:c>
      <x:c r="N710" s="12" t="str">
        <x:v>Fabricate, position, align, and fit parts of structural metal products.</x:v>
      </x:c>
      <x:c r="O710" s="12" t="str">
        <x:v>https://www.onetonline.org/link/summary/51-2041.00</x:v>
      </x:c>
      <x:c r="P710" s="12" t="str">
        <x:v>SOC51 production occupations.</x:v>
      </x:c>
    </x:row>
    <x:row r="711" ht="37.5" customHeight="1">
      <x:c r="A711" s="15" t="str">
        <x:v>784030</x:v>
      </x:c>
      <x:c r="B711" s="12" t="str">
        <x:v>Production occupations (e.g., assemblers, bakers, metal workers, tailors, woodworkers)</x:v>
      </x:c>
      <x:c r="C711" s="35" t="str">
        <x:v>51-2051.00</x:v>
      </x:c>
      <x:c r="D711" s="12" t="str">
        <x:v>Fiberglass Laminators and Fabricators</x:v>
      </x:c>
      <x:c r="E711" s="2" t="str">
        <x:v>Include</x:v>
      </x:c>
      <x:c r="F711" s="2" t="str">
        <x:v>Yes</x:v>
      </x:c>
      <x:c r="G711" s="15" t="str">
        <x:v>6/6</x:v>
      </x:c>
      <x:c r="H711" s="18" t="n">
        <x:v>2.67</x:v>
      </x:c>
      <x:c r="I711" s="18" t="n">
        <x:v>2.67</x:v>
      </x:c>
      <x:c r="J711" s="18" t="n">
        <x:v>2.33</x:v>
      </x:c>
      <x:c r="K711" s="18" t="n">
        <x:v>4.33</x:v>
      </x:c>
      <x:c r="L711" s="18" t="n">
        <x:v>4.67</x:v>
      </x:c>
      <x:c r="M711" s="18" t="n">
        <x:v>2.33</x:v>
      </x:c>
      <x:c r="N711" s="12" t="str">
        <x:v>Laminate layers of fiberglass on molds to form boat decks and hulls, bodies for golf carts, automobiles, or other products.</x:v>
      </x:c>
      <x:c r="O711" s="12" t="str">
        <x:v>https://www.onetonline.org/link/summary/51-2051.00</x:v>
      </x:c>
      <x:c r="P711" s="12" t="str">
        <x:v>SOC51 production occupations.</x:v>
      </x:c>
    </x:row>
    <x:row r="712" ht="37.5" customHeight="1">
      <x:c r="A712" s="15" t="str">
        <x:v>784030</x:v>
      </x:c>
      <x:c r="B712" s="12" t="str">
        <x:v>Production occupations (e.g., assemblers, bakers, metal workers, tailors, woodworkers)</x:v>
      </x:c>
      <x:c r="C712" s="35" t="str">
        <x:v>51-2061.00</x:v>
      </x:c>
      <x:c r="D712" s="12" t="str">
        <x:v>Timing Device Assemblers and Adjusters</x:v>
      </x:c>
      <x:c r="E712" s="2" t="str">
        <x:v>Include</x:v>
      </x:c>
      <x:c r="F712" s="2" t="str">
        <x:v>Yes</x:v>
      </x:c>
      <x:c r="G712" s="15" t="str">
        <x:v>6/6</x:v>
      </x:c>
      <x:c r="H712" s="18" t="n">
        <x:v>2.67</x:v>
      </x:c>
      <x:c r="I712" s="18" t="n">
        <x:v>3.17</x:v>
      </x:c>
      <x:c r="J712" s="18" t="n">
        <x:v>2.33</x:v>
      </x:c>
      <x:c r="K712" s="18" t="n">
        <x:v>2.33</x:v>
      </x:c>
      <x:c r="L712" s="18" t="n">
        <x:v>3.67</x:v>
      </x:c>
      <x:c r="M712" s="18" t="n">
        <x:v>2.67</x:v>
      </x:c>
      <x:c r="N712" s="12" t="str">
        <x:v>Perform precision assembling or adjusting, within narrow tolerances, of timing devices such as digital clocks or timing devices with electrical or electronic components.</x:v>
      </x:c>
      <x:c r="O712" s="12" t="str">
        <x:v>https://www.onetonline.org/link/summary/51-2061.00</x:v>
      </x:c>
      <x:c r="P712" s="12" t="str">
        <x:v>SOC51 production occupations.</x:v>
      </x:c>
    </x:row>
    <x:row r="713" ht="37.5" customHeight="1">
      <x:c r="A713" s="15" t="str">
        <x:v>784030</x:v>
      </x:c>
      <x:c r="B713" s="12" t="str">
        <x:v>Production occupations (e.g., assemblers, bakers, metal workers, tailors, woodworkers)</x:v>
      </x:c>
      <x:c r="C713" s="35" t="str">
        <x:v>51-2092.00</x:v>
      </x:c>
      <x:c r="D713" s="12" t="str">
        <x:v>Team Assemblers</x:v>
      </x:c>
      <x:c r="E713" s="2" t="str">
        <x:v>Include</x:v>
      </x:c>
      <x:c r="F713" s="2" t="str">
        <x:v>Yes</x:v>
      </x:c>
      <x:c r="G713" s="15" t="str">
        <x:v>6/6</x:v>
      </x:c>
      <x:c r="H713" s="18" t="n">
        <x:v>2</x:v>
      </x:c>
      <x:c r="I713" s="18" t="n">
        <x:v>2.67</x:v>
      </x:c>
      <x:c r="J713" s="18" t="n">
        <x:v>2.33</x:v>
      </x:c>
      <x:c r="K713" s="18" t="n">
        <x:v>4.33</x:v>
      </x:c>
      <x:c r="L713" s="18" t="n">
        <x:v>5.33</x:v>
      </x:c>
      <x:c r="M713" s="18" t="n">
        <x:v>2.33</x:v>
      </x:c>
      <x:c r="N713" s="12" t="str">
        <x:v>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x:v>
      </x:c>
      <x:c r="O713" s="12" t="str">
        <x:v>https://www.onetonline.org/link/summary/51-2092.00</x:v>
      </x:c>
      <x:c r="P713" s="12" t="str">
        <x:v>SOC51 production occupations.</x:v>
      </x:c>
    </x:row>
    <x:row r="714" ht="37.5" customHeight="1">
      <x:c r="A714" s="15" t="str">
        <x:v>784030</x:v>
      </x:c>
      <x:c r="B714" s="12" t="str">
        <x:v>Production occupations (e.g., assemblers, bakers, metal workers, tailors, woodworkers)</x:v>
      </x:c>
      <x:c r="C714" s="35" t="str">
        <x:v>51-2099.00</x:v>
      </x:c>
      <x:c r="D714" s="12" t="str">
        <x:v>Assemblers and Fabricators, All Other</x:v>
      </x:c>
      <x:c r="E714" s="2" t="str">
        <x:v>Exclude (no Work Values)</x:v>
      </x:c>
      <x:c r="F714" s="2" t="str">
        <x:v>Yes</x:v>
      </x:c>
      <x:c r="G714" s="15" t="str">
        <x:v>0/6</x:v>
      </x:c>
      <x:c r="H714" s="18"/>
      <x:c r="I714" s="18"/>
      <x:c r="J714" s="18"/>
      <x:c r="K714" s="18"/>
      <x:c r="L714" s="18"/>
      <x:c r="M714" s="18"/>
      <x:c r="N714" s="12" t="str">
        <x:v>All assemblers and fabricators not listed separately.</x:v>
      </x:c>
      <x:c r="O714" s="12" t="str">
        <x:v>https://www.onetonline.org/link/summary/51-2099.00</x:v>
      </x:c>
      <x:c r="P714" s="12" t="str">
        <x:v>SOC51 production occupations.</x:v>
      </x:c>
    </x:row>
    <x:row r="715" ht="37.5" customHeight="1">
      <x:c r="A715" s="15" t="str">
        <x:v>784030</x:v>
      </x:c>
      <x:c r="B715" s="12" t="str">
        <x:v>Production occupations (e.g., assemblers, bakers, metal workers, tailors, woodworkers)</x:v>
      </x:c>
      <x:c r="C715" s="35" t="str">
        <x:v>51-3011.00</x:v>
      </x:c>
      <x:c r="D715" s="12" t="str">
        <x:v>Bakers</x:v>
      </x:c>
      <x:c r="E715" s="2" t="str">
        <x:v>Include</x:v>
      </x:c>
      <x:c r="F715" s="2" t="str">
        <x:v>Yes</x:v>
      </x:c>
      <x:c r="G715" s="15" t="str">
        <x:v>6/6</x:v>
      </x:c>
      <x:c r="H715" s="18" t="n">
        <x:v>5</x:v>
      </x:c>
      <x:c r="I715" s="18" t="n">
        <x:v>2.5</x:v>
      </x:c>
      <x:c r="J715" s="18" t="n">
        <x:v>3</x:v>
      </x:c>
      <x:c r="K715" s="18" t="n">
        <x:v>3</x:v>
      </x:c>
      <x:c r="L715" s="18" t="n">
        <x:v>3.33</x:v>
      </x:c>
      <x:c r="M715" s="18" t="n">
        <x:v>3.67</x:v>
      </x:c>
      <x:c r="N715" s="12" t="str">
        <x:v>Mix and bake ingredients to produce breads, rolls, cookies, cakes, pies, pastries, or other baked goods.</x:v>
      </x:c>
      <x:c r="O715" s="12" t="str">
        <x:v>https://www.onetonline.org/link/summary/51-3011.00</x:v>
      </x:c>
      <x:c r="P715" s="12" t="str">
        <x:v>SOC51 production occupations.</x:v>
      </x:c>
    </x:row>
    <x:row r="716" ht="37.5" customHeight="1">
      <x:c r="A716" s="15" t="str">
        <x:v>784030</x:v>
      </x:c>
      <x:c r="B716" s="12" t="str">
        <x:v>Production occupations (e.g., assemblers, bakers, metal workers, tailors, woodworkers)</x:v>
      </x:c>
      <x:c r="C716" s="35" t="str">
        <x:v>51-3021.00</x:v>
      </x:c>
      <x:c r="D716" s="12" t="str">
        <x:v>Butchers and Meat Cutters</x:v>
      </x:c>
      <x:c r="E716" s="2" t="str">
        <x:v>Include</x:v>
      </x:c>
      <x:c r="F716" s="2" t="str">
        <x:v>Yes</x:v>
      </x:c>
      <x:c r="G716" s="15" t="str">
        <x:v>6/6</x:v>
      </x:c>
      <x:c r="H716" s="18" t="n">
        <x:v>2.67</x:v>
      </x:c>
      <x:c r="I716" s="18" t="n">
        <x:v>2.5</x:v>
      </x:c>
      <x:c r="J716" s="18" t="n">
        <x:v>2.33</x:v>
      </x:c>
      <x:c r="K716" s="18" t="n">
        <x:v>3.33</x:v>
      </x:c>
      <x:c r="L716" s="18" t="n">
        <x:v>2.67</x:v>
      </x:c>
      <x:c r="M716" s="18" t="n">
        <x:v>3</x:v>
      </x:c>
      <x:c r="N716" s="12" t="str">
        <x:v>Cut, trim, or prepare consumer-sized portions of meat for use or sale in retail establishments.</x:v>
      </x:c>
      <x:c r="O716" s="12" t="str">
        <x:v>https://www.onetonline.org/link/summary/51-3021.00</x:v>
      </x:c>
      <x:c r="P716" s="12" t="str">
        <x:v>SOC51 production occupations.</x:v>
      </x:c>
    </x:row>
    <x:row r="717" ht="37.5" customHeight="1">
      <x:c r="A717" s="15" t="str">
        <x:v>784030</x:v>
      </x:c>
      <x:c r="B717" s="12" t="str">
        <x:v>Production occupations (e.g., assemblers, bakers, metal workers, tailors, woodworkers)</x:v>
      </x:c>
      <x:c r="C717" s="35" t="str">
        <x:v>51-3022.00</x:v>
      </x:c>
      <x:c r="D717" s="12" t="str">
        <x:v>Meat, Poultry, and Fish Cutters and Trimmers</x:v>
      </x:c>
      <x:c r="E717" s="2" t="str">
        <x:v>Include</x:v>
      </x:c>
      <x:c r="F717" s="2" t="str">
        <x:v>Yes</x:v>
      </x:c>
      <x:c r="G717" s="15" t="str">
        <x:v>6/6</x:v>
      </x:c>
      <x:c r="H717" s="18" t="n">
        <x:v>2</x:v>
      </x:c>
      <x:c r="I717" s="18" t="n">
        <x:v>2.17</x:v>
      </x:c>
      <x:c r="J717" s="18" t="n">
        <x:v>1.67</x:v>
      </x:c>
      <x:c r="K717" s="18" t="n">
        <x:v>3.67</x:v>
      </x:c>
      <x:c r="L717" s="18" t="n">
        <x:v>4.67</x:v>
      </x:c>
      <x:c r="M717" s="18" t="n">
        <x:v>2</x:v>
      </x:c>
      <x:c r="N717" s="12" t="str">
        <x:v>Use hands or hand tools to perform routine cutting and trimming of meat, poultry, and seafood.</x:v>
      </x:c>
      <x:c r="O717" s="12" t="str">
        <x:v>https://www.onetonline.org/link/summary/51-3022.00</x:v>
      </x:c>
      <x:c r="P717" s="12" t="str">
        <x:v>SOC51 production occupations.</x:v>
      </x:c>
    </x:row>
    <x:row r="718" ht="37.5" customHeight="1">
      <x:c r="A718" s="15" t="str">
        <x:v>784030</x:v>
      </x:c>
      <x:c r="B718" s="12" t="str">
        <x:v>Production occupations (e.g., assemblers, bakers, metal workers, tailors, woodworkers)</x:v>
      </x:c>
      <x:c r="C718" s="35" t="str">
        <x:v>51-3023.00</x:v>
      </x:c>
      <x:c r="D718" s="12" t="str">
        <x:v>Slaughterers and Meat Packers</x:v>
      </x:c>
      <x:c r="E718" s="2" t="str">
        <x:v>Include</x:v>
      </x:c>
      <x:c r="F718" s="2" t="str">
        <x:v>Yes</x:v>
      </x:c>
      <x:c r="G718" s="15" t="str">
        <x:v>6/6</x:v>
      </x:c>
      <x:c r="H718" s="18" t="n">
        <x:v>1.67</x:v>
      </x:c>
      <x:c r="I718" s="18" t="n">
        <x:v>1.5</x:v>
      </x:c>
      <x:c r="J718" s="18" t="n">
        <x:v>1.33</x:v>
      </x:c>
      <x:c r="K718" s="18" t="n">
        <x:v>4.33</x:v>
      </x:c>
      <x:c r="L718" s="18" t="n">
        <x:v>4.33</x:v>
      </x:c>
      <x:c r="M718" s="18" t="n">
        <x:v>2</x:v>
      </x:c>
      <x:c r="N718" s="12" t="str">
        <x:v>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x:v>
      </x:c>
      <x:c r="O718" s="12" t="str">
        <x:v>https://www.onetonline.org/link/summary/51-3023.00</x:v>
      </x:c>
      <x:c r="P718" s="12" t="str">
        <x:v>SOC51 production occupations.</x:v>
      </x:c>
    </x:row>
    <x:row r="719" ht="37.5" customHeight="1">
      <x:c r="A719" s="15" t="str">
        <x:v>784030</x:v>
      </x:c>
      <x:c r="B719" s="12" t="str">
        <x:v>Production occupations (e.g., assemblers, bakers, metal workers, tailors, woodworkers)</x:v>
      </x:c>
      <x:c r="C719" s="35" t="str">
        <x:v>51-3091.00</x:v>
      </x:c>
      <x:c r="D719" s="12" t="str">
        <x:v>Food and Tobacco Roasting, Baking, and Drying Machine Operators and Tenders</x:v>
      </x:c>
      <x:c r="E719" s="2" t="str">
        <x:v>Include</x:v>
      </x:c>
      <x:c r="F719" s="2" t="str">
        <x:v>Yes</x:v>
      </x:c>
      <x:c r="G719" s="15" t="str">
        <x:v>6/6</x:v>
      </x:c>
      <x:c r="H719" s="18" t="n">
        <x:v>2</x:v>
      </x:c>
      <x:c r="I719" s="18" t="n">
        <x:v>2.5</x:v>
      </x:c>
      <x:c r="J719" s="18" t="n">
        <x:v>2</x:v>
      </x:c>
      <x:c r="K719" s="18" t="n">
        <x:v>3.33</x:v>
      </x:c>
      <x:c r="L719" s="18" t="n">
        <x:v>4.67</x:v>
      </x:c>
      <x:c r="M719" s="18" t="n">
        <x:v>2.33</x:v>
      </x:c>
      <x:c r="N719" s="12" t="str">
        <x:v>Operate or tend food or tobacco roasting, baking, or drying equipment, including hearth ovens, kiln driers, roasters, char kilns, and vacuum drying equipment.</x:v>
      </x:c>
      <x:c r="O719" s="12" t="str">
        <x:v>https://www.onetonline.org/link/summary/51-3091.00</x:v>
      </x:c>
      <x:c r="P719" s="12" t="str">
        <x:v>SOC51 production occupations.</x:v>
      </x:c>
    </x:row>
    <x:row r="720" ht="37.5" customHeight="1">
      <x:c r="A720" s="15" t="str">
        <x:v>784030</x:v>
      </x:c>
      <x:c r="B720" s="12" t="str">
        <x:v>Production occupations (e.g., assemblers, bakers, metal workers, tailors, woodworkers)</x:v>
      </x:c>
      <x:c r="C720" s="35" t="str">
        <x:v>51-3092.00</x:v>
      </x:c>
      <x:c r="D720" s="12" t="str">
        <x:v>Food Batchmakers</x:v>
      </x:c>
      <x:c r="E720" s="2" t="str">
        <x:v>Include</x:v>
      </x:c>
      <x:c r="F720" s="2" t="str">
        <x:v>Yes</x:v>
      </x:c>
      <x:c r="G720" s="15" t="str">
        <x:v>6/6</x:v>
      </x:c>
      <x:c r="H720" s="18" t="n">
        <x:v>2</x:v>
      </x:c>
      <x:c r="I720" s="18" t="n">
        <x:v>2.17</x:v>
      </x:c>
      <x:c r="J720" s="18" t="n">
        <x:v>1.67</x:v>
      </x:c>
      <x:c r="K720" s="18" t="n">
        <x:v>3.33</x:v>
      </x:c>
      <x:c r="L720" s="18" t="n">
        <x:v>4.33</x:v>
      </x:c>
      <x:c r="M720" s="18" t="n">
        <x:v>2</x:v>
      </x:c>
      <x:c r="N720" s="12" t="str">
        <x:v>Set up and operate equipment that mixes or blends ingredients used in the manufacturing of food products. Includes candy makers and cheese makers.</x:v>
      </x:c>
      <x:c r="O720" s="12" t="str">
        <x:v>https://www.onetonline.org/link/summary/51-3092.00</x:v>
      </x:c>
      <x:c r="P720" s="12" t="str">
        <x:v>SOC51 production occupations.</x:v>
      </x:c>
    </x:row>
    <x:row r="721" ht="37.5" customHeight="1">
      <x:c r="A721" s="15" t="str">
        <x:v>784030</x:v>
      </x:c>
      <x:c r="B721" s="12" t="str">
        <x:v>Production occupations (e.g., assemblers, bakers, metal workers, tailors, woodworkers)</x:v>
      </x:c>
      <x:c r="C721" s="35" t="str">
        <x:v>51-3093.00</x:v>
      </x:c>
      <x:c r="D721" s="12" t="str">
        <x:v>Food Cooking Machine Operators and Tenders</x:v>
      </x:c>
      <x:c r="E721" s="2" t="str">
        <x:v>Include</x:v>
      </x:c>
      <x:c r="F721" s="2" t="str">
        <x:v>Yes</x:v>
      </x:c>
      <x:c r="G721" s="15" t="str">
        <x:v>6/6</x:v>
      </x:c>
      <x:c r="H721" s="18" t="n">
        <x:v>2.67</x:v>
      </x:c>
      <x:c r="I721" s="18" t="n">
        <x:v>2.33</x:v>
      </x:c>
      <x:c r="J721" s="18" t="n">
        <x:v>2</x:v>
      </x:c>
      <x:c r="K721" s="18" t="n">
        <x:v>3.33</x:v>
      </x:c>
      <x:c r="L721" s="18" t="n">
        <x:v>4.67</x:v>
      </x:c>
      <x:c r="M721" s="18" t="n">
        <x:v>3</x:v>
      </x:c>
      <x:c r="N721" s="12" t="str">
        <x:v>Operate or tend cooking equipment, such as steam cooking vats, deep fry cookers, pressure cookers, kettles, and boilers, to prepare food products.</x:v>
      </x:c>
      <x:c r="O721" s="12" t="str">
        <x:v>https://www.onetonline.org/link/summary/51-3093.00</x:v>
      </x:c>
      <x:c r="P721" s="12" t="str">
        <x:v>SOC51 production occupations.</x:v>
      </x:c>
    </x:row>
    <x:row r="722" ht="37.5" customHeight="1">
      <x:c r="A722" s="15" t="str">
        <x:v>784030</x:v>
      </x:c>
      <x:c r="B722" s="12" t="str">
        <x:v>Production occupations (e.g., assemblers, bakers, metal workers, tailors, woodworkers)</x:v>
      </x:c>
      <x:c r="C722" s="35" t="str">
        <x:v>51-3099.00</x:v>
      </x:c>
      <x:c r="D722" s="12" t="str">
        <x:v>Food Processing Workers, All Other</x:v>
      </x:c>
      <x:c r="E722" s="2" t="str">
        <x:v>Exclude (no Work Values)</x:v>
      </x:c>
      <x:c r="F722" s="2" t="str">
        <x:v>Yes</x:v>
      </x:c>
      <x:c r="G722" s="15" t="str">
        <x:v>0/6</x:v>
      </x:c>
      <x:c r="H722" s="18"/>
      <x:c r="I722" s="18"/>
      <x:c r="J722" s="18"/>
      <x:c r="K722" s="18"/>
      <x:c r="L722" s="18"/>
      <x:c r="M722" s="18"/>
      <x:c r="N722" s="12" t="str">
        <x:v>All food processing workers not listed separately.</x:v>
      </x:c>
      <x:c r="O722" s="12" t="str">
        <x:v>https://www.onetonline.org/link/summary/51-3099.00</x:v>
      </x:c>
      <x:c r="P722" s="12" t="str">
        <x:v>SOC51 production occupations.</x:v>
      </x:c>
    </x:row>
    <x:row r="723" ht="37.5" customHeight="1">
      <x:c r="A723" s="15" t="str">
        <x:v>784030</x:v>
      </x:c>
      <x:c r="B723" s="12" t="str">
        <x:v>Production occupations (e.g., assemblers, bakers, metal workers, tailors, woodworkers)</x:v>
      </x:c>
      <x:c r="C723" s="35" t="str">
        <x:v>51-4021.00</x:v>
      </x:c>
      <x:c r="D723" s="12" t="str">
        <x:v>Extruding and Drawing Machine Setters, Operators, and Tenders, Metal and Plastic</x:v>
      </x:c>
      <x:c r="E723" s="2" t="str">
        <x:v>Include</x:v>
      </x:c>
      <x:c r="F723" s="2" t="str">
        <x:v>Yes</x:v>
      </x:c>
      <x:c r="G723" s="15" t="str">
        <x:v>6/6</x:v>
      </x:c>
      <x:c r="H723" s="18" t="n">
        <x:v>2</x:v>
      </x:c>
      <x:c r="I723" s="18" t="n">
        <x:v>2.5</x:v>
      </x:c>
      <x:c r="J723" s="18" t="n">
        <x:v>2</x:v>
      </x:c>
      <x:c r="K723" s="18" t="n">
        <x:v>4.33</x:v>
      </x:c>
      <x:c r="L723" s="18" t="n">
        <x:v>5</x:v>
      </x:c>
      <x:c r="M723" s="18" t="n">
        <x:v>2.67</x:v>
      </x:c>
      <x:c r="N723" s="12" t="str">
        <x:v>Set up, operate, or tend machines to extrude or draw thermoplastic or metal materials into tubes, rods, hoses, wire, bars, or structural shapes.</x:v>
      </x:c>
      <x:c r="O723" s="12" t="str">
        <x:v>https://www.onetonline.org/link/summary/51-4021.00</x:v>
      </x:c>
      <x:c r="P723" s="12" t="str">
        <x:v>SOC51 production occupations.</x:v>
      </x:c>
    </x:row>
    <x:row r="724" ht="37.5" customHeight="1">
      <x:c r="A724" s="15" t="str">
        <x:v>784030</x:v>
      </x:c>
      <x:c r="B724" s="12" t="str">
        <x:v>Production occupations (e.g., assemblers, bakers, metal workers, tailors, woodworkers)</x:v>
      </x:c>
      <x:c r="C724" s="35" t="str">
        <x:v>51-4022.00</x:v>
      </x:c>
      <x:c r="D724" s="12" t="str">
        <x:v>Forging Machine Setters, Operators, and Tenders, Metal and Plastic</x:v>
      </x:c>
      <x:c r="E724" s="2" t="str">
        <x:v>Include</x:v>
      </x:c>
      <x:c r="F724" s="2" t="str">
        <x:v>Yes</x:v>
      </x:c>
      <x:c r="G724" s="15" t="str">
        <x:v>6/6</x:v>
      </x:c>
      <x:c r="H724" s="18" t="n">
        <x:v>2</x:v>
      </x:c>
      <x:c r="I724" s="18" t="n">
        <x:v>2.67</x:v>
      </x:c>
      <x:c r="J724" s="18" t="n">
        <x:v>2</x:v>
      </x:c>
      <x:c r="K724" s="18" t="n">
        <x:v>3.33</x:v>
      </x:c>
      <x:c r="L724" s="18" t="n">
        <x:v>5</x:v>
      </x:c>
      <x:c r="M724" s="18" t="n">
        <x:v>2</x:v>
      </x:c>
      <x:c r="N724" s="12" t="str">
        <x:v>Set up, operate, or tend forging machines to taper, shape, or form metal or plastic parts.</x:v>
      </x:c>
      <x:c r="O724" s="12" t="str">
        <x:v>https://www.onetonline.org/link/summary/51-4022.00</x:v>
      </x:c>
      <x:c r="P724" s="12" t="str">
        <x:v>SOC51 production occupations.</x:v>
      </x:c>
    </x:row>
    <x:row r="725" ht="37.5" customHeight="1">
      <x:c r="A725" s="15" t="str">
        <x:v>784030</x:v>
      </x:c>
      <x:c r="B725" s="12" t="str">
        <x:v>Production occupations (e.g., assemblers, bakers, metal workers, tailors, woodworkers)</x:v>
      </x:c>
      <x:c r="C725" s="35" t="str">
        <x:v>51-4023.00</x:v>
      </x:c>
      <x:c r="D725" s="12" t="str">
        <x:v>Rolling Machine Setters, Operators, and Tenders, Metal and Plastic</x:v>
      </x:c>
      <x:c r="E725" s="2" t="str">
        <x:v>Include</x:v>
      </x:c>
      <x:c r="F725" s="2" t="str">
        <x:v>Yes</x:v>
      </x:c>
      <x:c r="G725" s="15" t="str">
        <x:v>6/6</x:v>
      </x:c>
      <x:c r="H725" s="18" t="n">
        <x:v>2</x:v>
      </x:c>
      <x:c r="I725" s="18" t="n">
        <x:v>3</x:v>
      </x:c>
      <x:c r="J725" s="18" t="n">
        <x:v>2.33</x:v>
      </x:c>
      <x:c r="K725" s="18" t="n">
        <x:v>4.33</x:v>
      </x:c>
      <x:c r="L725" s="18" t="n">
        <x:v>5</x:v>
      </x:c>
      <x:c r="M725" s="18" t="n">
        <x:v>2.67</x:v>
      </x:c>
      <x:c r="N725" s="12" t="str">
        <x:v>Set up, operate, or tend machines to roll steel or plastic forming bends, beads, knurls, rolls, or plate, or to flatten, temper, or reduce gauge of material.</x:v>
      </x:c>
      <x:c r="O725" s="12" t="str">
        <x:v>https://www.onetonline.org/link/summary/51-4023.00</x:v>
      </x:c>
      <x:c r="P725" s="12" t="str">
        <x:v>SOC51 production occupations.</x:v>
      </x:c>
    </x:row>
    <x:row r="726" ht="37.5" customHeight="1">
      <x:c r="A726" s="15" t="str">
        <x:v>784030</x:v>
      </x:c>
      <x:c r="B726" s="12" t="str">
        <x:v>Production occupations (e.g., assemblers, bakers, metal workers, tailors, woodworkers)</x:v>
      </x:c>
      <x:c r="C726" s="35" t="str">
        <x:v>51-4031.00</x:v>
      </x:c>
      <x:c r="D726" s="12" t="str">
        <x:v>Cutting, Punching, and Press Machine Setters, Operators, and Tenders, Metal and Plastic</x:v>
      </x:c>
      <x:c r="E726" s="2" t="str">
        <x:v>Include</x:v>
      </x:c>
      <x:c r="F726" s="2" t="str">
        <x:v>Yes</x:v>
      </x:c>
      <x:c r="G726" s="15" t="str">
        <x:v>6/6</x:v>
      </x:c>
      <x:c r="H726" s="18" t="n">
        <x:v>2.67</x:v>
      </x:c>
      <x:c r="I726" s="18" t="n">
        <x:v>2.5</x:v>
      </x:c>
      <x:c r="J726" s="18" t="n">
        <x:v>2</x:v>
      </x:c>
      <x:c r="K726" s="18" t="n">
        <x:v>4.33</x:v>
      </x:c>
      <x:c r="L726" s="18" t="n">
        <x:v>4.33</x:v>
      </x:c>
      <x:c r="M726" s="18" t="n">
        <x:v>2.67</x:v>
      </x:c>
      <x:c r="N726" s="12" t="str">
        <x:v>Set up, operate, or tend machines to saw, cut, shear, slit, punch, crimp, notch, bend, or straighten metal or plastic material.</x:v>
      </x:c>
      <x:c r="O726" s="12" t="str">
        <x:v>https://www.onetonline.org/link/summary/51-4031.00</x:v>
      </x:c>
      <x:c r="P726" s="12" t="str">
        <x:v>SOC51 production occupations.</x:v>
      </x:c>
    </x:row>
    <x:row r="727" ht="37.5" customHeight="1">
      <x:c r="A727" s="15" t="str">
        <x:v>784030</x:v>
      </x:c>
      <x:c r="B727" s="12" t="str">
        <x:v>Production occupations (e.g., assemblers, bakers, metal workers, tailors, woodworkers)</x:v>
      </x:c>
      <x:c r="C727" s="35" t="str">
        <x:v>51-4032.00</x:v>
      </x:c>
      <x:c r="D727" s="12" t="str">
        <x:v>Drilling and Boring Machine Tool Setters, Operators, and Tenders, Metal and Plastic</x:v>
      </x:c>
      <x:c r="E727" s="2" t="str">
        <x:v>Include</x:v>
      </x:c>
      <x:c r="F727" s="2" t="str">
        <x:v>Yes</x:v>
      </x:c>
      <x:c r="G727" s="15" t="str">
        <x:v>6/6</x:v>
      </x:c>
      <x:c r="H727" s="18" t="n">
        <x:v>2.33</x:v>
      </x:c>
      <x:c r="I727" s="18" t="n">
        <x:v>3.5</x:v>
      </x:c>
      <x:c r="J727" s="18" t="n">
        <x:v>2.33</x:v>
      </x:c>
      <x:c r="K727" s="18" t="n">
        <x:v>3.67</x:v>
      </x:c>
      <x:c r="L727" s="18" t="n">
        <x:v>4.67</x:v>
      </x:c>
      <x:c r="M727" s="18" t="n">
        <x:v>3.33</x:v>
      </x:c>
      <x:c r="N727" s="12" t="str">
        <x:v>Set up, operate, or tend drilling machines to drill, bore, ream, mill, or countersink metal or plastic work pieces.</x:v>
      </x:c>
      <x:c r="O727" s="12" t="str">
        <x:v>https://www.onetonline.org/link/summary/51-4032.00</x:v>
      </x:c>
      <x:c r="P727" s="12" t="str">
        <x:v>SOC51 production occupations.</x:v>
      </x:c>
    </x:row>
    <x:row r="728" ht="37.5" customHeight="1">
      <x:c r="A728" s="15" t="str">
        <x:v>784030</x:v>
      </x:c>
      <x:c r="B728" s="12" t="str">
        <x:v>Production occupations (e.g., assemblers, bakers, metal workers, tailors, woodworkers)</x:v>
      </x:c>
      <x:c r="C728" s="35" t="str">
        <x:v>51-4033.00</x:v>
      </x:c>
      <x:c r="D728" s="12" t="str">
        <x:v>Grinding, Lapping, Polishing, and Buffing Machine Tool Setters, Operators, and Tenders, Metal and Plastic</x:v>
      </x:c>
      <x:c r="E728" s="2" t="str">
        <x:v>Include</x:v>
      </x:c>
      <x:c r="F728" s="2" t="str">
        <x:v>Yes</x:v>
      </x:c>
      <x:c r="G728" s="15" t="str">
        <x:v>6/6</x:v>
      </x:c>
      <x:c r="H728" s="18" t="n">
        <x:v>1.67</x:v>
      </x:c>
      <x:c r="I728" s="18" t="n">
        <x:v>2.67</x:v>
      </x:c>
      <x:c r="J728" s="18" t="n">
        <x:v>1.67</x:v>
      </x:c>
      <x:c r="K728" s="18" t="n">
        <x:v>3</x:v>
      </x:c>
      <x:c r="L728" s="18" t="n">
        <x:v>4</x:v>
      </x:c>
      <x:c r="M728" s="18" t="n">
        <x:v>3</x:v>
      </x:c>
      <x:c r="N728" s="12" t="str">
        <x:v>Set up, operate, or tend grinding and related tools that remove excess material or burrs from surfaces, sharpen edges or corners, or buff, hone, or polish metal or plastic work pieces.</x:v>
      </x:c>
      <x:c r="O728" s="12" t="str">
        <x:v>https://www.onetonline.org/link/summary/51-4033.00</x:v>
      </x:c>
      <x:c r="P728" s="12" t="str">
        <x:v>SOC51 production occupations.</x:v>
      </x:c>
    </x:row>
    <x:row r="729" ht="37.5" customHeight="1">
      <x:c r="A729" s="15" t="str">
        <x:v>784030</x:v>
      </x:c>
      <x:c r="B729" s="12" t="str">
        <x:v>Production occupations (e.g., assemblers, bakers, metal workers, tailors, woodworkers)</x:v>
      </x:c>
      <x:c r="C729" s="35" t="str">
        <x:v>51-4034.00</x:v>
      </x:c>
      <x:c r="D729" s="12" t="str">
        <x:v>Lathe and Turning Machine Tool Setters, Operators, and Tenders, Metal and Plastic</x:v>
      </x:c>
      <x:c r="E729" s="2" t="str">
        <x:v>Include</x:v>
      </x:c>
      <x:c r="F729" s="2" t="str">
        <x:v>Yes</x:v>
      </x:c>
      <x:c r="G729" s="15" t="str">
        <x:v>6/6</x:v>
      </x:c>
      <x:c r="H729" s="18" t="n">
        <x:v>3</x:v>
      </x:c>
      <x:c r="I729" s="18" t="n">
        <x:v>2.83</x:v>
      </x:c>
      <x:c r="J729" s="18" t="n">
        <x:v>2</x:v>
      </x:c>
      <x:c r="K729" s="18" t="n">
        <x:v>1.67</x:v>
      </x:c>
      <x:c r="L729" s="18" t="n">
        <x:v>5.33</x:v>
      </x:c>
      <x:c r="M729" s="18" t="n">
        <x:v>3</x:v>
      </x:c>
      <x:c r="N729" s="12" t="str">
        <x:v>Set up, operate, or tend lathe and turning machines to turn, bore, thread, form, or face metal or plastic materials, such as wire, rod, or bar stock.</x:v>
      </x:c>
      <x:c r="O729" s="12" t="str">
        <x:v>https://www.onetonline.org/link/summary/51-4034.00</x:v>
      </x:c>
      <x:c r="P729" s="12" t="str">
        <x:v>SOC51 production occupations.</x:v>
      </x:c>
    </x:row>
    <x:row r="730" ht="37.5" customHeight="1">
      <x:c r="A730" s="15" t="str">
        <x:v>784030</x:v>
      </x:c>
      <x:c r="B730" s="12" t="str">
        <x:v>Production occupations (e.g., assemblers, bakers, metal workers, tailors, woodworkers)</x:v>
      </x:c>
      <x:c r="C730" s="35" t="str">
        <x:v>51-4035.00</x:v>
      </x:c>
      <x:c r="D730" s="12" t="str">
        <x:v>Milling and Planing Machine Setters, Operators, and Tenders, Metal and Plastic</x:v>
      </x:c>
      <x:c r="E730" s="2" t="str">
        <x:v>Include</x:v>
      </x:c>
      <x:c r="F730" s="2" t="str">
        <x:v>Yes</x:v>
      </x:c>
      <x:c r="G730" s="15" t="str">
        <x:v>6/6</x:v>
      </x:c>
      <x:c r="H730" s="18" t="n">
        <x:v>2.33</x:v>
      </x:c>
      <x:c r="I730" s="18" t="n">
        <x:v>2.83</x:v>
      </x:c>
      <x:c r="J730" s="18" t="n">
        <x:v>2</x:v>
      </x:c>
      <x:c r="K730" s="18" t="n">
        <x:v>2.33</x:v>
      </x:c>
      <x:c r="L730" s="18" t="n">
        <x:v>5.33</x:v>
      </x:c>
      <x:c r="M730" s="18" t="n">
        <x:v>2.67</x:v>
      </x:c>
      <x:c r="N730" s="12" t="str">
        <x:v>Set up, operate, or tend milling or planing machines to mill, plane, shape, groove, or profile metal or plastic work pieces.</x:v>
      </x:c>
      <x:c r="O730" s="12" t="str">
        <x:v>https://www.onetonline.org/link/summary/51-4035.00</x:v>
      </x:c>
      <x:c r="P730" s="12" t="str">
        <x:v>SOC51 production occupations.</x:v>
      </x:c>
    </x:row>
    <x:row r="731" ht="37.5" customHeight="1">
      <x:c r="A731" s="15" t="str">
        <x:v>784030</x:v>
      </x:c>
      <x:c r="B731" s="12" t="str">
        <x:v>Production occupations (e.g., assemblers, bakers, metal workers, tailors, woodworkers)</x:v>
      </x:c>
      <x:c r="C731" s="35" t="str">
        <x:v>51-4041.00</x:v>
      </x:c>
      <x:c r="D731" s="12" t="str">
        <x:v>Machinists</x:v>
      </x:c>
      <x:c r="E731" s="2" t="str">
        <x:v>Include</x:v>
      </x:c>
      <x:c r="F731" s="2" t="str">
        <x:v>Yes</x:v>
      </x:c>
      <x:c r="G731" s="15" t="str">
        <x:v>6/6</x:v>
      </x:c>
      <x:c r="H731" s="18" t="n">
        <x:v>2.67</x:v>
      </x:c>
      <x:c r="I731" s="18" t="n">
        <x:v>3.33</x:v>
      </x:c>
      <x:c r="J731" s="18" t="n">
        <x:v>2.67</x:v>
      </x:c>
      <x:c r="K731" s="18" t="n">
        <x:v>2</x:v>
      </x:c>
      <x:c r="L731" s="18" t="n">
        <x:v>5.33</x:v>
      </x:c>
      <x:c r="M731" s="18" t="n">
        <x:v>3.33</x:v>
      </x:c>
      <x:c r="N731" s="12" t="str">
        <x:v>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x:v>
      </x:c>
      <x:c r="O731" s="12" t="str">
        <x:v>https://www.onetonline.org/link/summary/51-4041.00</x:v>
      </x:c>
      <x:c r="P731" s="12" t="str">
        <x:v>SOC51 production occupations.</x:v>
      </x:c>
    </x:row>
    <x:row r="732" ht="37.5" customHeight="1">
      <x:c r="A732" s="15" t="str">
        <x:v>784030</x:v>
      </x:c>
      <x:c r="B732" s="12" t="str">
        <x:v>Production occupations (e.g., assemblers, bakers, metal workers, tailors, woodworkers)</x:v>
      </x:c>
      <x:c r="C732" s="35" t="str">
        <x:v>51-4051.00</x:v>
      </x:c>
      <x:c r="D732" s="12" t="str">
        <x:v>Metal-Refining Furnace Operators and Tenders</x:v>
      </x:c>
      <x:c r="E732" s="2" t="str">
        <x:v>Include</x:v>
      </x:c>
      <x:c r="F732" s="2" t="str">
        <x:v>Yes</x:v>
      </x:c>
      <x:c r="G732" s="15" t="str">
        <x:v>6/6</x:v>
      </x:c>
      <x:c r="H732" s="18" t="n">
        <x:v>2.33</x:v>
      </x:c>
      <x:c r="I732" s="18" t="n">
        <x:v>2.5</x:v>
      </x:c>
      <x:c r="J732" s="18" t="n">
        <x:v>2</x:v>
      </x:c>
      <x:c r="K732" s="18" t="n">
        <x:v>2</x:v>
      </x:c>
      <x:c r="L732" s="18" t="n">
        <x:v>6.67</x:v>
      </x:c>
      <x:c r="M732" s="18" t="n">
        <x:v>3</x:v>
      </x:c>
      <x:c r="N732" s="12" t="str">
        <x:v>Operate or tend furnaces, such as gas, oil, coal, electric-arc or electric induction, open-hearth, or oxygen furnaces, to melt and refine metal before casting or to produce specified types of steel.</x:v>
      </x:c>
      <x:c r="O732" s="12" t="str">
        <x:v>https://www.onetonline.org/link/summary/51-4051.00</x:v>
      </x:c>
      <x:c r="P732" s="12" t="str">
        <x:v>SOC51 production occupations.</x:v>
      </x:c>
    </x:row>
    <x:row r="733" ht="37.5" customHeight="1">
      <x:c r="A733" s="15" t="str">
        <x:v>784030</x:v>
      </x:c>
      <x:c r="B733" s="12" t="str">
        <x:v>Production occupations (e.g., assemblers, bakers, metal workers, tailors, woodworkers)</x:v>
      </x:c>
      <x:c r="C733" s="35" t="str">
        <x:v>51-4052.00</x:v>
      </x:c>
      <x:c r="D733" s="12" t="str">
        <x:v>Pourers and Casters, Metal</x:v>
      </x:c>
      <x:c r="E733" s="2" t="str">
        <x:v>Include</x:v>
      </x:c>
      <x:c r="F733" s="2" t="str">
        <x:v>Yes</x:v>
      </x:c>
      <x:c r="G733" s="15" t="str">
        <x:v>6/6</x:v>
      </x:c>
      <x:c r="H733" s="18" t="n">
        <x:v>2.33</x:v>
      </x:c>
      <x:c r="I733" s="18" t="n">
        <x:v>2.33</x:v>
      </x:c>
      <x:c r="J733" s="18" t="n">
        <x:v>2</x:v>
      </x:c>
      <x:c r="K733" s="18" t="n">
        <x:v>3</x:v>
      </x:c>
      <x:c r="L733" s="18" t="n">
        <x:v>5</x:v>
      </x:c>
      <x:c r="M733" s="18" t="n">
        <x:v>2.67</x:v>
      </x:c>
      <x:c r="N733" s="12" t="str">
        <x:v>Operate hand-controlled mechanisms to pour and regulate the flow of molten metal into molds to produce castings or ingots.</x:v>
      </x:c>
      <x:c r="O733" s="12" t="str">
        <x:v>https://www.onetonline.org/link/summary/51-4052.00</x:v>
      </x:c>
      <x:c r="P733" s="12" t="str">
        <x:v>SOC51 production occupations.</x:v>
      </x:c>
    </x:row>
    <x:row r="734" ht="37.5" customHeight="1">
      <x:c r="A734" s="15" t="str">
        <x:v>784030</x:v>
      </x:c>
      <x:c r="B734" s="12" t="str">
        <x:v>Production occupations (e.g., assemblers, bakers, metal workers, tailors, woodworkers)</x:v>
      </x:c>
      <x:c r="C734" s="35" t="str">
        <x:v>51-4061.00</x:v>
      </x:c>
      <x:c r="D734" s="12" t="str">
        <x:v>Model Makers, Metal and Plastic</x:v>
      </x:c>
      <x:c r="E734" s="2" t="str">
        <x:v>Include</x:v>
      </x:c>
      <x:c r="F734" s="2" t="str">
        <x:v>Yes</x:v>
      </x:c>
      <x:c r="G734" s="15" t="str">
        <x:v>6/6</x:v>
      </x:c>
      <x:c r="H734" s="18" t="n">
        <x:v>3.33</x:v>
      </x:c>
      <x:c r="I734" s="18" t="n">
        <x:v>3.5</x:v>
      </x:c>
      <x:c r="J734" s="18" t="n">
        <x:v>2.67</x:v>
      </x:c>
      <x:c r="K734" s="18" t="n">
        <x:v>2.67</x:v>
      </x:c>
      <x:c r="L734" s="18" t="n">
        <x:v>4.67</x:v>
      </x:c>
      <x:c r="M734" s="18" t="n">
        <x:v>3</x:v>
      </x:c>
      <x:c r="N734" s="12" t="str">
        <x:v>Set up and operate machines, such as lathes, milling and engraving machines, and jig borers to make working models of metal or plastic objects. Includes template makers.</x:v>
      </x:c>
      <x:c r="O734" s="12" t="str">
        <x:v>https://www.onetonline.org/link/summary/51-4061.00</x:v>
      </x:c>
      <x:c r="P734" s="12" t="str">
        <x:v>SOC51 production occupations.</x:v>
      </x:c>
    </x:row>
    <x:row r="735" ht="37.5" customHeight="1">
      <x:c r="A735" s="15" t="str">
        <x:v>784030</x:v>
      </x:c>
      <x:c r="B735" s="12" t="str">
        <x:v>Production occupations (e.g., assemblers, bakers, metal workers, tailors, woodworkers)</x:v>
      </x:c>
      <x:c r="C735" s="35" t="str">
        <x:v>51-4062.00</x:v>
      </x:c>
      <x:c r="D735" s="12" t="str">
        <x:v>Patternmakers, Metal and Plastic</x:v>
      </x:c>
      <x:c r="E735" s="2" t="str">
        <x:v>Include</x:v>
      </x:c>
      <x:c r="F735" s="2" t="str">
        <x:v>Yes</x:v>
      </x:c>
      <x:c r="G735" s="15" t="str">
        <x:v>6/6</x:v>
      </x:c>
      <x:c r="H735" s="18" t="n">
        <x:v>3.33</x:v>
      </x:c>
      <x:c r="I735" s="18" t="n">
        <x:v>3.5</x:v>
      </x:c>
      <x:c r="J735" s="18" t="n">
        <x:v>3</x:v>
      </x:c>
      <x:c r="K735" s="18" t="n">
        <x:v>3.67</x:v>
      </x:c>
      <x:c r="L735" s="18" t="n">
        <x:v>5</x:v>
      </x:c>
      <x:c r="M735" s="18" t="n">
        <x:v>4</x:v>
      </x:c>
      <x:c r="N735" s="12" t="str">
        <x:v>Lay out, machine, fit, and assemble castings and parts to metal or plastic foundry patterns, core boxes, or match plates.</x:v>
      </x:c>
      <x:c r="O735" s="12" t="str">
        <x:v>https://www.onetonline.org/link/summary/51-4062.00</x:v>
      </x:c>
      <x:c r="P735" s="12" t="str">
        <x:v>SOC51 production occupations.</x:v>
      </x:c>
    </x:row>
    <x:row r="736" ht="37.5" customHeight="1">
      <x:c r="A736" s="15" t="str">
        <x:v>784030</x:v>
      </x:c>
      <x:c r="B736" s="12" t="str">
        <x:v>Production occupations (e.g., assemblers, bakers, metal workers, tailors, woodworkers)</x:v>
      </x:c>
      <x:c r="C736" s="35" t="str">
        <x:v>51-4071.00</x:v>
      </x:c>
      <x:c r="D736" s="12" t="str">
        <x:v>Foundry Mold and Coremakers</x:v>
      </x:c>
      <x:c r="E736" s="2" t="str">
        <x:v>Include</x:v>
      </x:c>
      <x:c r="F736" s="2" t="str">
        <x:v>Yes</x:v>
      </x:c>
      <x:c r="G736" s="15" t="str">
        <x:v>6/6</x:v>
      </x:c>
      <x:c r="H736" s="18" t="n">
        <x:v>2</x:v>
      </x:c>
      <x:c r="I736" s="18" t="n">
        <x:v>2.5</x:v>
      </x:c>
      <x:c r="J736" s="18" t="n">
        <x:v>2</x:v>
      </x:c>
      <x:c r="K736" s="18" t="n">
        <x:v>2.67</x:v>
      </x:c>
      <x:c r="L736" s="18" t="n">
        <x:v>5</x:v>
      </x:c>
      <x:c r="M736" s="18" t="n">
        <x:v>2.67</x:v>
      </x:c>
      <x:c r="N736" s="12" t="str">
        <x:v>Make or form wax or sand cores or molds used in the production of metal castings in foundries.</x:v>
      </x:c>
      <x:c r="O736" s="12" t="str">
        <x:v>https://www.onetonline.org/link/summary/51-4071.00</x:v>
      </x:c>
      <x:c r="P736" s="12" t="str">
        <x:v>SOC51 production occupations.</x:v>
      </x:c>
    </x:row>
    <x:row r="737" ht="37.5" customHeight="1">
      <x:c r="A737" s="15" t="str">
        <x:v>784030</x:v>
      </x:c>
      <x:c r="B737" s="12" t="str">
        <x:v>Production occupations (e.g., assemblers, bakers, metal workers, tailors, woodworkers)</x:v>
      </x:c>
      <x:c r="C737" s="35" t="str">
        <x:v>51-4072.00</x:v>
      </x:c>
      <x:c r="D737" s="12" t="str">
        <x:v>Molding, Coremaking, and Casting Machine Setters, Operators, and Tenders, Metal and Plastic</x:v>
      </x:c>
      <x:c r="E737" s="2" t="str">
        <x:v>Include</x:v>
      </x:c>
      <x:c r="F737" s="2" t="str">
        <x:v>Yes</x:v>
      </x:c>
      <x:c r="G737" s="15" t="str">
        <x:v>6/6</x:v>
      </x:c>
      <x:c r="H737" s="18" t="n">
        <x:v>2</x:v>
      </x:c>
      <x:c r="I737" s="18" t="n">
        <x:v>2.33</x:v>
      </x:c>
      <x:c r="J737" s="18" t="n">
        <x:v>2</x:v>
      </x:c>
      <x:c r="K737" s="18" t="n">
        <x:v>3</x:v>
      </x:c>
      <x:c r="L737" s="18" t="n">
        <x:v>4.67</x:v>
      </x:c>
      <x:c r="M737" s="18" t="n">
        <x:v>2.67</x:v>
      </x:c>
      <x:c r="N737" s="12" t="str">
        <x:v>Set up, operate, or tend metal or plastic molding, casting, or coremaking machines to mold or cast metal or thermoplastic parts or products.</x:v>
      </x:c>
      <x:c r="O737" s="12" t="str">
        <x:v>https://www.onetonline.org/link/summary/51-4072.00</x:v>
      </x:c>
      <x:c r="P737" s="12" t="str">
        <x:v>SOC51 production occupations.</x:v>
      </x:c>
    </x:row>
    <x:row r="738" ht="37.5" customHeight="1">
      <x:c r="A738" s="15" t="str">
        <x:v>784030</x:v>
      </x:c>
      <x:c r="B738" s="12" t="str">
        <x:v>Production occupations (e.g., assemblers, bakers, metal workers, tailors, woodworkers)</x:v>
      </x:c>
      <x:c r="C738" s="35" t="str">
        <x:v>51-4081.00</x:v>
      </x:c>
      <x:c r="D738" s="12" t="str">
        <x:v>Multiple Machine Tool Setters, Operators, and Tenders, Metal and Plastic</x:v>
      </x:c>
      <x:c r="E738" s="2" t="str">
        <x:v>Include</x:v>
      </x:c>
      <x:c r="F738" s="2" t="str">
        <x:v>Yes</x:v>
      </x:c>
      <x:c r="G738" s="15" t="str">
        <x:v>6/6</x:v>
      </x:c>
      <x:c r="H738" s="18" t="n">
        <x:v>2</x:v>
      </x:c>
      <x:c r="I738" s="18" t="n">
        <x:v>2.83</x:v>
      </x:c>
      <x:c r="J738" s="18" t="n">
        <x:v>2</x:v>
      </x:c>
      <x:c r="K738" s="18" t="n">
        <x:v>3.33</x:v>
      </x:c>
      <x:c r="L738" s="18" t="n">
        <x:v>5</x:v>
      </x:c>
      <x:c r="M738" s="18" t="n">
        <x:v>2.67</x:v>
      </x:c>
      <x:c r="N738" s="12" t="str">
        <x:v>Set up, operate, or tend more than one type of cutting or forming machine tool or robot.</x:v>
      </x:c>
      <x:c r="O738" s="12" t="str">
        <x:v>https://www.onetonline.org/link/summary/51-4081.00</x:v>
      </x:c>
      <x:c r="P738" s="12" t="str">
        <x:v>SOC51 production occupations.</x:v>
      </x:c>
    </x:row>
    <x:row r="739" ht="37.5" customHeight="1">
      <x:c r="A739" s="15" t="str">
        <x:v>784030</x:v>
      </x:c>
      <x:c r="B739" s="12" t="str">
        <x:v>Production occupations (e.g., assemblers, bakers, metal workers, tailors, woodworkers)</x:v>
      </x:c>
      <x:c r="C739" s="35" t="str">
        <x:v>51-4111.00</x:v>
      </x:c>
      <x:c r="D739" s="12" t="str">
        <x:v>Tool and Die Makers</x:v>
      </x:c>
      <x:c r="E739" s="2" t="str">
        <x:v>Include</x:v>
      </x:c>
      <x:c r="F739" s="2" t="str">
        <x:v>Yes</x:v>
      </x:c>
      <x:c r="G739" s="15" t="str">
        <x:v>6/6</x:v>
      </x:c>
      <x:c r="H739" s="18" t="n">
        <x:v>3</x:v>
      </x:c>
      <x:c r="I739" s="18" t="n">
        <x:v>3.83</x:v>
      </x:c>
      <x:c r="J739" s="18" t="n">
        <x:v>2.33</x:v>
      </x:c>
      <x:c r="K739" s="18" t="n">
        <x:v>3.33</x:v>
      </x:c>
      <x:c r="L739" s="18" t="n">
        <x:v>5</x:v>
      </x:c>
      <x:c r="M739" s="18" t="n">
        <x:v>3.67</x:v>
      </x:c>
      <x:c r="N739" s="12" t="str">
        <x:v>Analyze specifications, lay out metal stock, set up and operate machine tools, and fit and assemble parts to make and repair dies, cutting tools, jigs, fixtures, gauges, and machinists' hand tools.</x:v>
      </x:c>
      <x:c r="O739" s="12" t="str">
        <x:v>https://www.onetonline.org/link/summary/51-4111.00</x:v>
      </x:c>
      <x:c r="P739" s="12" t="str">
        <x:v>SOC51 production occupations.</x:v>
      </x:c>
    </x:row>
    <x:row r="740" ht="37.5" customHeight="1">
      <x:c r="A740" s="15" t="str">
        <x:v>784030</x:v>
      </x:c>
      <x:c r="B740" s="12" t="str">
        <x:v>Production occupations (e.g., assemblers, bakers, metal workers, tailors, woodworkers)</x:v>
      </x:c>
      <x:c r="C740" s="35" t="str">
        <x:v>51-4121.00</x:v>
      </x:c>
      <x:c r="D740" s="12" t="str">
        <x:v>Welders, Cutters, Solderers, and Brazers</x:v>
      </x:c>
      <x:c r="E740" s="2" t="str">
        <x:v>Include</x:v>
      </x:c>
      <x:c r="F740" s="2" t="str">
        <x:v>Yes</x:v>
      </x:c>
      <x:c r="G740" s="15" t="str">
        <x:v>6/6</x:v>
      </x:c>
      <x:c r="H740" s="18" t="n">
        <x:v>2.5</x:v>
      </x:c>
      <x:c r="I740" s="18" t="n">
        <x:v>3.17</x:v>
      </x:c>
      <x:c r="J740" s="18" t="n">
        <x:v>2.5</x:v>
      </x:c>
      <x:c r="K740" s="18" t="n">
        <x:v>3.17</x:v>
      </x:c>
      <x:c r="L740" s="18" t="n">
        <x:v>4.83</x:v>
      </x:c>
      <x:c r="M740" s="18" t="n">
        <x:v>2.83</x:v>
      </x:c>
      <x:c r="N740" s="12" t="str">
        <x:v>Use hand-welding, flame-cutting, hand-soldering, or brazing equipment to weld or join metal components or to fill holes, indentations, or seams of fabricated metal products.</x:v>
      </x:c>
      <x:c r="O740" s="12" t="str">
        <x:v>https://www.onetonline.org/link/summary/51-4121.00</x:v>
      </x:c>
      <x:c r="P740" s="12" t="str">
        <x:v>SOC51 production occupations.</x:v>
      </x:c>
    </x:row>
    <x:row r="741" ht="37.5" customHeight="1">
      <x:c r="A741" s="15" t="str">
        <x:v>784030</x:v>
      </x:c>
      <x:c r="B741" s="12" t="str">
        <x:v>Production occupations (e.g., assemblers, bakers, metal workers, tailors, woodworkers)</x:v>
      </x:c>
      <x:c r="C741" s="35" t="str">
        <x:v>51-4122.00</x:v>
      </x:c>
      <x:c r="D741" s="12" t="str">
        <x:v>Welding, Soldering, and Brazing Machine Setters, Operators, and Tenders</x:v>
      </x:c>
      <x:c r="E741" s="2" t="str">
        <x:v>Include</x:v>
      </x:c>
      <x:c r="F741" s="2" t="str">
        <x:v>Yes</x:v>
      </x:c>
      <x:c r="G741" s="15" t="str">
        <x:v>6/6</x:v>
      </x:c>
      <x:c r="H741" s="18" t="n">
        <x:v>2.33</x:v>
      </x:c>
      <x:c r="I741" s="18" t="n">
        <x:v>2.83</x:v>
      </x:c>
      <x:c r="J741" s="18" t="n">
        <x:v>2</x:v>
      </x:c>
      <x:c r="K741" s="18" t="n">
        <x:v>4.33</x:v>
      </x:c>
      <x:c r="L741" s="18" t="n">
        <x:v>5.67</x:v>
      </x:c>
      <x:c r="M741" s="18" t="n">
        <x:v>3.67</x:v>
      </x:c>
      <x:c r="N741" s="12" t="str">
        <x:v>Set up, operate, or tend welding, soldering, or brazing machines or robots that weld, braze, solder, or heat treat metal products, components, or assemblies. Includes workers who operate laser cutters or laser-beam machines.</x:v>
      </x:c>
      <x:c r="O741" s="12" t="str">
        <x:v>https://www.onetonline.org/link/summary/51-4122.00</x:v>
      </x:c>
      <x:c r="P741" s="12" t="str">
        <x:v>SOC51 production occupations.</x:v>
      </x:c>
    </x:row>
    <x:row r="742" ht="37.5" customHeight="1">
      <x:c r="A742" s="15" t="str">
        <x:v>784030</x:v>
      </x:c>
      <x:c r="B742" s="12" t="str">
        <x:v>Production occupations (e.g., assemblers, bakers, metal workers, tailors, woodworkers)</x:v>
      </x:c>
      <x:c r="C742" s="35" t="str">
        <x:v>51-4191.00</x:v>
      </x:c>
      <x:c r="D742" s="12" t="str">
        <x:v>Heat Treating Equipment Setters, Operators, and Tenders, Metal and Plastic</x:v>
      </x:c>
      <x:c r="E742" s="2" t="str">
        <x:v>Include</x:v>
      </x:c>
      <x:c r="F742" s="2" t="str">
        <x:v>Yes</x:v>
      </x:c>
      <x:c r="G742" s="15" t="str">
        <x:v>6/6</x:v>
      </x:c>
      <x:c r="H742" s="18" t="n">
        <x:v>2.33</x:v>
      </x:c>
      <x:c r="I742" s="18" t="n">
        <x:v>2.67</x:v>
      </x:c>
      <x:c r="J742" s="18" t="n">
        <x:v>2</x:v>
      </x:c>
      <x:c r="K742" s="18" t="n">
        <x:v>3.67</x:v>
      </x:c>
      <x:c r="L742" s="18" t="n">
        <x:v>5.33</x:v>
      </x:c>
      <x:c r="M742" s="18" t="n">
        <x:v>3</x:v>
      </x:c>
      <x:c r="N742" s="12" t="str">
        <x:v>Set up, operate, or tend heating equipment, such as heat-treating furnaces, flame-hardening machines, induction machines, soaking pits, or vacuum equipment to temper, harden, anneal, or heat treat metal or plastic objects.</x:v>
      </x:c>
      <x:c r="O742" s="12" t="str">
        <x:v>https://www.onetonline.org/link/summary/51-4191.00</x:v>
      </x:c>
      <x:c r="P742" s="12" t="str">
        <x:v>SOC51 production occupations.</x:v>
      </x:c>
    </x:row>
    <x:row r="743" ht="37.5" customHeight="1">
      <x:c r="A743" s="15" t="str">
        <x:v>784030</x:v>
      </x:c>
      <x:c r="B743" s="12" t="str">
        <x:v>Production occupations (e.g., assemblers, bakers, metal workers, tailors, woodworkers)</x:v>
      </x:c>
      <x:c r="C743" s="35" t="str">
        <x:v>51-4192.00</x:v>
      </x:c>
      <x:c r="D743" s="12" t="str">
        <x:v>Layout Workers, Metal and Plastic</x:v>
      </x:c>
      <x:c r="E743" s="2" t="str">
        <x:v>Include</x:v>
      </x:c>
      <x:c r="F743" s="2" t="str">
        <x:v>Yes</x:v>
      </x:c>
      <x:c r="G743" s="15" t="str">
        <x:v>6/6</x:v>
      </x:c>
      <x:c r="H743" s="18" t="n">
        <x:v>3.33</x:v>
      </x:c>
      <x:c r="I743" s="18" t="n">
        <x:v>3.33</x:v>
      </x:c>
      <x:c r="J743" s="18" t="n">
        <x:v>2.67</x:v>
      </x:c>
      <x:c r="K743" s="18" t="n">
        <x:v>4</x:v>
      </x:c>
      <x:c r="L743" s="18" t="n">
        <x:v>5</x:v>
      </x:c>
      <x:c r="M743" s="18" t="n">
        <x:v>3.67</x:v>
      </x:c>
      <x:c r="N743" s="12" t="str">
        <x:v>Lay out reference points and dimensions on metal or plastic stock or workpieces, such as sheets, plates, tubes, structural shapes, castings, or machine parts, for further processing. Includes shipfitters.</x:v>
      </x:c>
      <x:c r="O743" s="12" t="str">
        <x:v>https://www.onetonline.org/link/summary/51-4192.00</x:v>
      </x:c>
      <x:c r="P743" s="12" t="str">
        <x:v>SOC51 production occupations.</x:v>
      </x:c>
    </x:row>
    <x:row r="744" ht="37.5" customHeight="1">
      <x:c r="A744" s="15" t="str">
        <x:v>784030</x:v>
      </x:c>
      <x:c r="B744" s="12" t="str">
        <x:v>Production occupations (e.g., assemblers, bakers, metal workers, tailors, woodworkers)</x:v>
      </x:c>
      <x:c r="C744" s="35" t="str">
        <x:v>51-4193.00</x:v>
      </x:c>
      <x:c r="D744" s="12" t="str">
        <x:v>Plating Machine Setters, Operators, and Tenders, Metal and Plastic</x:v>
      </x:c>
      <x:c r="E744" s="2" t="str">
        <x:v>Include</x:v>
      </x:c>
      <x:c r="F744" s="2" t="str">
        <x:v>Yes</x:v>
      </x:c>
      <x:c r="G744" s="15" t="str">
        <x:v>6/6</x:v>
      </x:c>
      <x:c r="H744" s="18" t="n">
        <x:v>2</x:v>
      </x:c>
      <x:c r="I744" s="18" t="n">
        <x:v>2.5</x:v>
      </x:c>
      <x:c r="J744" s="18" t="n">
        <x:v>2.33</x:v>
      </x:c>
      <x:c r="K744" s="18" t="n">
        <x:v>4.33</x:v>
      </x:c>
      <x:c r="L744" s="18" t="n">
        <x:v>4.67</x:v>
      </x:c>
      <x:c r="M744" s="18" t="n">
        <x:v>2</x:v>
      </x:c>
      <x:c r="N744" s="12" t="str">
        <x:v>Set up, operate, or tend plating machines to coat metal or plastic products with chromium, zinc, copper, cadmium, nickel, or other metal to protect or decorate surfaces. Typically, the product being coated is immersed in molten metal or an electrolytic solution.</x:v>
      </x:c>
      <x:c r="O744" s="12" t="str">
        <x:v>https://www.onetonline.org/link/summary/51-4193.00</x:v>
      </x:c>
      <x:c r="P744" s="12" t="str">
        <x:v>SOC51 production occupations.</x:v>
      </x:c>
    </x:row>
    <x:row r="745" ht="37.5" customHeight="1">
      <x:c r="A745" s="15" t="str">
        <x:v>784030</x:v>
      </x:c>
      <x:c r="B745" s="12" t="str">
        <x:v>Production occupations (e.g., assemblers, bakers, metal workers, tailors, woodworkers)</x:v>
      </x:c>
      <x:c r="C745" s="35" t="str">
        <x:v>51-4194.00</x:v>
      </x:c>
      <x:c r="D745" s="12" t="str">
        <x:v>Tool Grinders, Filers, and Sharpeners</x:v>
      </x:c>
      <x:c r="E745" s="2" t="str">
        <x:v>Include</x:v>
      </x:c>
      <x:c r="F745" s="2" t="str">
        <x:v>Yes</x:v>
      </x:c>
      <x:c r="G745" s="15" t="str">
        <x:v>6/6</x:v>
      </x:c>
      <x:c r="H745" s="18" t="n">
        <x:v>2.33</x:v>
      </x:c>
      <x:c r="I745" s="18" t="n">
        <x:v>2.67</x:v>
      </x:c>
      <x:c r="J745" s="18" t="n">
        <x:v>2.33</x:v>
      </x:c>
      <x:c r="K745" s="18" t="n">
        <x:v>2</x:v>
      </x:c>
      <x:c r="L745" s="18" t="n">
        <x:v>5</x:v>
      </x:c>
      <x:c r="M745" s="18" t="n">
        <x:v>3</x:v>
      </x:c>
      <x:c r="N745" s="12" t="str">
        <x:v>Perform precision smoothing, sharpening, polishing, or grinding of metal objects.</x:v>
      </x:c>
      <x:c r="O745" s="12" t="str">
        <x:v>https://www.onetonline.org/link/summary/51-4194.00</x:v>
      </x:c>
      <x:c r="P745" s="12" t="str">
        <x:v>SOC51 production occupations.</x:v>
      </x:c>
    </x:row>
    <x:row r="746" ht="37.5" customHeight="1">
      <x:c r="A746" s="15" t="str">
        <x:v>784030</x:v>
      </x:c>
      <x:c r="B746" s="12" t="str">
        <x:v>Production occupations (e.g., assemblers, bakers, metal workers, tailors, woodworkers)</x:v>
      </x:c>
      <x:c r="C746" s="35" t="str">
        <x:v>51-4199.00</x:v>
      </x:c>
      <x:c r="D746" s="12" t="str">
        <x:v>Metal Workers and Plastic Workers, All Other</x:v>
      </x:c>
      <x:c r="E746" s="2" t="str">
        <x:v>Exclude (no Work Values)</x:v>
      </x:c>
      <x:c r="F746" s="2" t="str">
        <x:v>Yes</x:v>
      </x:c>
      <x:c r="G746" s="15" t="str">
        <x:v>0/6</x:v>
      </x:c>
      <x:c r="H746" s="18"/>
      <x:c r="I746" s="18"/>
      <x:c r="J746" s="18"/>
      <x:c r="K746" s="18"/>
      <x:c r="L746" s="18"/>
      <x:c r="M746" s="18"/>
      <x:c r="N746" s="12" t="str">
        <x:v>All metal workers and plastic workers not listed separately.</x:v>
      </x:c>
      <x:c r="O746" s="12" t="str">
        <x:v>https://www.onetonline.org/link/summary/51-4199.00</x:v>
      </x:c>
      <x:c r="P746" s="12" t="str">
        <x:v>SOC51 production occupations.</x:v>
      </x:c>
    </x:row>
    <x:row r="747" ht="37.5" customHeight="1">
      <x:c r="A747" s="15" t="str">
        <x:v>784030</x:v>
      </x:c>
      <x:c r="B747" s="12" t="str">
        <x:v>Production occupations (e.g., assemblers, bakers, metal workers, tailors, woodworkers)</x:v>
      </x:c>
      <x:c r="C747" s="35" t="str">
        <x:v>51-5111.00</x:v>
      </x:c>
      <x:c r="D747" s="12" t="str">
        <x:v>Prepress Technicians and Workers</x:v>
      </x:c>
      <x:c r="E747" s="2" t="str">
        <x:v>Include</x:v>
      </x:c>
      <x:c r="F747" s="2" t="str">
        <x:v>Yes</x:v>
      </x:c>
      <x:c r="G747" s="15" t="str">
        <x:v>6/6</x:v>
      </x:c>
      <x:c r="H747" s="18" t="n">
        <x:v>2.67</x:v>
      </x:c>
      <x:c r="I747" s="18" t="n">
        <x:v>2.83</x:v>
      </x:c>
      <x:c r="J747" s="18" t="n">
        <x:v>2.67</x:v>
      </x:c>
      <x:c r="K747" s="18" t="n">
        <x:v>3.67</x:v>
      </x:c>
      <x:c r="L747" s="18" t="n">
        <x:v>4.67</x:v>
      </x:c>
      <x:c r="M747" s="18" t="n">
        <x:v>4.33</x:v>
      </x:c>
      <x:c r="N747" s="12" t="str">
        <x:v>Format and proof text and images submitted by designers and clients into finished pages that can be printed. Includes digital and photo typesetting. May produce printing plates.</x:v>
      </x:c>
      <x:c r="O747" s="12" t="str">
        <x:v>https://www.onetonline.org/link/summary/51-5111.00</x:v>
      </x:c>
      <x:c r="P747" s="12" t="str">
        <x:v>SOC51 production occupations.</x:v>
      </x:c>
    </x:row>
    <x:row r="748" ht="37.5" customHeight="1">
      <x:c r="A748" s="15" t="str">
        <x:v>784030</x:v>
      </x:c>
      <x:c r="B748" s="12" t="str">
        <x:v>Production occupations (e.g., assemblers, bakers, metal workers, tailors, woodworkers)</x:v>
      </x:c>
      <x:c r="C748" s="35" t="str">
        <x:v>51-5112.00</x:v>
      </x:c>
      <x:c r="D748" s="12" t="str">
        <x:v>Printing Press Operators</x:v>
      </x:c>
      <x:c r="E748" s="2" t="str">
        <x:v>Include</x:v>
      </x:c>
      <x:c r="F748" s="2" t="str">
        <x:v>Yes</x:v>
      </x:c>
      <x:c r="G748" s="15" t="str">
        <x:v>6/6</x:v>
      </x:c>
      <x:c r="H748" s="18" t="n">
        <x:v>3.33</x:v>
      </x:c>
      <x:c r="I748" s="18" t="n">
        <x:v>3</x:v>
      </x:c>
      <x:c r="J748" s="18" t="n">
        <x:v>3</x:v>
      </x:c>
      <x:c r="K748" s="18" t="n">
        <x:v>2.33</x:v>
      </x:c>
      <x:c r="L748" s="18" t="n">
        <x:v>4</x:v>
      </x:c>
      <x:c r="M748" s="18" t="n">
        <x:v>3</x:v>
      </x:c>
      <x:c r="N748" s="12" t="str">
        <x:v>Set up and operate digital, letterpress, lithographic, flexographic, gravure, or other printing machines. Includes short-run offset printing presses.</x:v>
      </x:c>
      <x:c r="O748" s="12" t="str">
        <x:v>https://www.onetonline.org/link/summary/51-5112.00</x:v>
      </x:c>
      <x:c r="P748" s="12" t="str">
        <x:v>SOC51 production occupations.</x:v>
      </x:c>
    </x:row>
    <x:row r="749" ht="37.5" customHeight="1">
      <x:c r="A749" s="15" t="str">
        <x:v>784030</x:v>
      </x:c>
      <x:c r="B749" s="12" t="str">
        <x:v>Production occupations (e.g., assemblers, bakers, metal workers, tailors, woodworkers)</x:v>
      </x:c>
      <x:c r="C749" s="35" t="str">
        <x:v>51-5113.00</x:v>
      </x:c>
      <x:c r="D749" s="12" t="str">
        <x:v>Print Binding and Finishing Workers</x:v>
      </x:c>
      <x:c r="E749" s="2" t="str">
        <x:v>Include</x:v>
      </x:c>
      <x:c r="F749" s="2" t="str">
        <x:v>Yes</x:v>
      </x:c>
      <x:c r="G749" s="15" t="str">
        <x:v>6/6</x:v>
      </x:c>
      <x:c r="H749" s="18" t="n">
        <x:v>3.33</x:v>
      </x:c>
      <x:c r="I749" s="18" t="n">
        <x:v>3.17</x:v>
      </x:c>
      <x:c r="J749" s="18" t="n">
        <x:v>3</x:v>
      </x:c>
      <x:c r="K749" s="18" t="n">
        <x:v>3</x:v>
      </x:c>
      <x:c r="L749" s="18" t="n">
        <x:v>4</x:v>
      </x:c>
      <x:c r="M749" s="18" t="n">
        <x:v>3.67</x:v>
      </x:c>
      <x:c r="N749" s="12" t="str">
        <x:v>Bind books and other publications or finish printed products by hand or machine. May set up binding and finishing machines.</x:v>
      </x:c>
      <x:c r="O749" s="12" t="str">
        <x:v>https://www.onetonline.org/link/summary/51-5113.00</x:v>
      </x:c>
      <x:c r="P749" s="12" t="str">
        <x:v>SOC51 production occupations.</x:v>
      </x:c>
    </x:row>
    <x:row r="750" ht="37.5" customHeight="1">
      <x:c r="A750" s="15" t="str">
        <x:v>784030</x:v>
      </x:c>
      <x:c r="B750" s="12" t="str">
        <x:v>Production occupations (e.g., assemblers, bakers, metal workers, tailors, woodworkers)</x:v>
      </x:c>
      <x:c r="C750" s="35" t="str">
        <x:v>51-6011.00</x:v>
      </x:c>
      <x:c r="D750" s="12" t="str">
        <x:v>Laundry and Dry-Cleaning Workers</x:v>
      </x:c>
      <x:c r="E750" s="2" t="str">
        <x:v>Include</x:v>
      </x:c>
      <x:c r="F750" s="2" t="str">
        <x:v>Yes</x:v>
      </x:c>
      <x:c r="G750" s="15" t="str">
        <x:v>6/6</x:v>
      </x:c>
      <x:c r="H750" s="18" t="n">
        <x:v>2</x:v>
      </x:c>
      <x:c r="I750" s="18" t="n">
        <x:v>2.33</x:v>
      </x:c>
      <x:c r="J750" s="18" t="n">
        <x:v>2</x:v>
      </x:c>
      <x:c r="K750" s="18" t="n">
        <x:v>3.67</x:v>
      </x:c>
      <x:c r="L750" s="18" t="n">
        <x:v>3.33</x:v>
      </x:c>
      <x:c r="M750" s="18" t="n">
        <x:v>2.67</x:v>
      </x:c>
      <x:c r="N750" s="12" t="str">
        <x:v>Operate or tend washing or dry-cleaning machines to wash or dry-clean industrial or household articles, such as cloth garments, suede, leather, furs, blankets, draperies, linens, rugs, and carpets. Includes spotters and dyers of these articles.</x:v>
      </x:c>
      <x:c r="O750" s="12" t="str">
        <x:v>https://www.onetonline.org/link/summary/51-6011.00</x:v>
      </x:c>
      <x:c r="P750" s="12" t="str">
        <x:v>SOC51 production occupations.</x:v>
      </x:c>
    </x:row>
    <x:row r="751" ht="37.5" customHeight="1">
      <x:c r="A751" s="15" t="str">
        <x:v>784030</x:v>
      </x:c>
      <x:c r="B751" s="12" t="str">
        <x:v>Production occupations (e.g., assemblers, bakers, metal workers, tailors, woodworkers)</x:v>
      </x:c>
      <x:c r="C751" s="35" t="str">
        <x:v>51-6021.00</x:v>
      </x:c>
      <x:c r="D751" s="12" t="str">
        <x:v>Pressers, Textile, Garment, and Related Materials</x:v>
      </x:c>
      <x:c r="E751" s="2" t="str">
        <x:v>Include</x:v>
      </x:c>
      <x:c r="F751" s="2" t="str">
        <x:v>Yes</x:v>
      </x:c>
      <x:c r="G751" s="15" t="str">
        <x:v>6/6</x:v>
      </x:c>
      <x:c r="H751" s="18" t="n">
        <x:v>1.67</x:v>
      </x:c>
      <x:c r="I751" s="18" t="n">
        <x:v>1.5</x:v>
      </x:c>
      <x:c r="J751" s="18" t="n">
        <x:v>1.33</x:v>
      </x:c>
      <x:c r="K751" s="18" t="n">
        <x:v>4.33</x:v>
      </x:c>
      <x:c r="L751" s="18" t="n">
        <x:v>3.67</x:v>
      </x:c>
      <x:c r="M751" s="18" t="n">
        <x:v>1.67</x:v>
      </x:c>
      <x:c r="N751" s="12" t="str">
        <x:v>Press or shape articles by hand or machine.</x:v>
      </x:c>
      <x:c r="O751" s="12" t="str">
        <x:v>https://www.onetonline.org/link/summary/51-6021.00</x:v>
      </x:c>
      <x:c r="P751" s="12" t="str">
        <x:v>SOC51 production occupations.</x:v>
      </x:c>
    </x:row>
    <x:row r="752" ht="37.5" customHeight="1">
      <x:c r="A752" s="15" t="str">
        <x:v>784030</x:v>
      </x:c>
      <x:c r="B752" s="12" t="str">
        <x:v>Production occupations (e.g., assemblers, bakers, metal workers, tailors, woodworkers)</x:v>
      </x:c>
      <x:c r="C752" s="35" t="str">
        <x:v>51-6031.00</x:v>
      </x:c>
      <x:c r="D752" s="12" t="str">
        <x:v>Sewing Machine Operators</x:v>
      </x:c>
      <x:c r="E752" s="2" t="str">
        <x:v>Include</x:v>
      </x:c>
      <x:c r="F752" s="2" t="str">
        <x:v>Yes</x:v>
      </x:c>
      <x:c r="G752" s="15" t="str">
        <x:v>6/6</x:v>
      </x:c>
      <x:c r="H752" s="18" t="n">
        <x:v>2</x:v>
      </x:c>
      <x:c r="I752" s="18" t="n">
        <x:v>2.17</x:v>
      </x:c>
      <x:c r="J752" s="18" t="n">
        <x:v>1.67</x:v>
      </x:c>
      <x:c r="K752" s="18" t="n">
        <x:v>2.67</x:v>
      </x:c>
      <x:c r="L752" s="18" t="n">
        <x:v>4.33</x:v>
      </x:c>
      <x:c r="M752" s="18" t="n">
        <x:v>2.33</x:v>
      </x:c>
      <x:c r="N752" s="12" t="str">
        <x:v>Operate or tend sewing machines to join, reinforce, decorate, or perform related sewing operations in the manufacture of garment or nongarment products.</x:v>
      </x:c>
      <x:c r="O752" s="12" t="str">
        <x:v>https://www.onetonline.org/link/summary/51-6031.00</x:v>
      </x:c>
      <x:c r="P752" s="12" t="str">
        <x:v>SOC51 production occupations.</x:v>
      </x:c>
    </x:row>
    <x:row r="753" ht="37.5" customHeight="1">
      <x:c r="A753" s="15" t="str">
        <x:v>784030</x:v>
      </x:c>
      <x:c r="B753" s="12" t="str">
        <x:v>Production occupations (e.g., assemblers, bakers, metal workers, tailors, woodworkers)</x:v>
      </x:c>
      <x:c r="C753" s="35" t="str">
        <x:v>51-6041.00</x:v>
      </x:c>
      <x:c r="D753" s="12" t="str">
        <x:v>Shoe and Leather Workers and Repairers</x:v>
      </x:c>
      <x:c r="E753" s="2" t="str">
        <x:v>Include</x:v>
      </x:c>
      <x:c r="F753" s="2" t="str">
        <x:v>Yes</x:v>
      </x:c>
      <x:c r="G753" s="15" t="str">
        <x:v>6/6</x:v>
      </x:c>
      <x:c r="H753" s="18" t="n">
        <x:v>2.67</x:v>
      </x:c>
      <x:c r="I753" s="18" t="n">
        <x:v>2.33</x:v>
      </x:c>
      <x:c r="J753" s="18" t="n">
        <x:v>1.67</x:v>
      </x:c>
      <x:c r="K753" s="18" t="n">
        <x:v>2.67</x:v>
      </x:c>
      <x:c r="L753" s="18" t="n">
        <x:v>3.33</x:v>
      </x:c>
      <x:c r="M753" s="18" t="n">
        <x:v>2.67</x:v>
      </x:c>
      <x:c r="N753" s="12" t="str">
        <x:v>Construct, decorate, or repair leather and leather-like products, such as luggage, shoes, and saddles. May use hand tools.</x:v>
      </x:c>
      <x:c r="O753" s="12" t="str">
        <x:v>https://www.onetonline.org/link/summary/51-6041.00</x:v>
      </x:c>
      <x:c r="P753" s="12" t="str">
        <x:v>SOC51 production occupations.</x:v>
      </x:c>
    </x:row>
    <x:row r="754" ht="37.5" customHeight="1">
      <x:c r="A754" s="15" t="str">
        <x:v>784030</x:v>
      </x:c>
      <x:c r="B754" s="12" t="str">
        <x:v>Production occupations (e.g., assemblers, bakers, metal workers, tailors, woodworkers)</x:v>
      </x:c>
      <x:c r="C754" s="35" t="str">
        <x:v>51-6042.00</x:v>
      </x:c>
      <x:c r="D754" s="12" t="str">
        <x:v>Shoe Machine Operators and Tenders</x:v>
      </x:c>
      <x:c r="E754" s="2" t="str">
        <x:v>Include</x:v>
      </x:c>
      <x:c r="F754" s="2" t="str">
        <x:v>Yes</x:v>
      </x:c>
      <x:c r="G754" s="15" t="str">
        <x:v>6/6</x:v>
      </x:c>
      <x:c r="H754" s="18" t="n">
        <x:v>2.33</x:v>
      </x:c>
      <x:c r="I754" s="18" t="n">
        <x:v>1.83</x:v>
      </x:c>
      <x:c r="J754" s="18" t="n">
        <x:v>2</x:v>
      </x:c>
      <x:c r="K754" s="18" t="n">
        <x:v>4</x:v>
      </x:c>
      <x:c r="L754" s="18" t="n">
        <x:v>2.67</x:v>
      </x:c>
      <x:c r="M754" s="18" t="n">
        <x:v>2.33</x:v>
      </x:c>
      <x:c r="N754" s="12" t="str">
        <x:v>Operate or tend a variety of machines to join, decorate, reinforce, or finish shoes and shoe parts.</x:v>
      </x:c>
      <x:c r="O754" s="12" t="str">
        <x:v>https://www.onetonline.org/link/summary/51-6042.00</x:v>
      </x:c>
      <x:c r="P754" s="12" t="str">
        <x:v>SOC51 production occupations.</x:v>
      </x:c>
    </x:row>
    <x:row r="755" ht="37.5" customHeight="1">
      <x:c r="A755" s="15" t="str">
        <x:v>784030</x:v>
      </x:c>
      <x:c r="B755" s="12" t="str">
        <x:v>Production occupations (e.g., assemblers, bakers, metal workers, tailors, woodworkers)</x:v>
      </x:c>
      <x:c r="C755" s="35" t="str">
        <x:v>51-6051.00</x:v>
      </x:c>
      <x:c r="D755" s="12" t="str">
        <x:v>Sewers, Hand</x:v>
      </x:c>
      <x:c r="E755" s="2" t="str">
        <x:v>Include</x:v>
      </x:c>
      <x:c r="F755" s="2" t="str">
        <x:v>Yes</x:v>
      </x:c>
      <x:c r="G755" s="15" t="str">
        <x:v>6/6</x:v>
      </x:c>
      <x:c r="H755" s="18" t="n">
        <x:v>2.33</x:v>
      </x:c>
      <x:c r="I755" s="18" t="n">
        <x:v>2.67</x:v>
      </x:c>
      <x:c r="J755" s="18" t="n">
        <x:v>2</x:v>
      </x:c>
      <x:c r="K755" s="18" t="n">
        <x:v>2.33</x:v>
      </x:c>
      <x:c r="L755" s="18" t="n">
        <x:v>3.67</x:v>
      </x:c>
      <x:c r="M755" s="18" t="n">
        <x:v>4</x:v>
      </x:c>
      <x:c r="N755" s="12" t="str">
        <x:v>Sew, join, reinforce, or finish, usually with needle and thread, a variety of manufactured items. Includes weavers and stitchers.</x:v>
      </x:c>
      <x:c r="O755" s="12" t="str">
        <x:v>https://www.onetonline.org/link/summary/51-6051.00</x:v>
      </x:c>
      <x:c r="P755" s="12" t="str">
        <x:v>SOC51 production occupations.</x:v>
      </x:c>
    </x:row>
    <x:row r="756" ht="37.5" customHeight="1">
      <x:c r="A756" s="15" t="str">
        <x:v>784030</x:v>
      </x:c>
      <x:c r="B756" s="12" t="str">
        <x:v>Production occupations (e.g., assemblers, bakers, metal workers, tailors, woodworkers)</x:v>
      </x:c>
      <x:c r="C756" s="35" t="str">
        <x:v>51-6052.00</x:v>
      </x:c>
      <x:c r="D756" s="12" t="str">
        <x:v>Tailors, Dressmakers, and Custom Sewers</x:v>
      </x:c>
      <x:c r="E756" s="2" t="str">
        <x:v>Include</x:v>
      </x:c>
      <x:c r="F756" s="2" t="str">
        <x:v>Yes</x:v>
      </x:c>
      <x:c r="G756" s="15" t="str">
        <x:v>6/6</x:v>
      </x:c>
      <x:c r="H756" s="18" t="n">
        <x:v>4.33</x:v>
      </x:c>
      <x:c r="I756" s="18" t="n">
        <x:v>3.5</x:v>
      </x:c>
      <x:c r="J756" s="18" t="n">
        <x:v>2.67</x:v>
      </x:c>
      <x:c r="K756" s="18" t="n">
        <x:v>4.33</x:v>
      </x:c>
      <x:c r="L756" s="18" t="n">
        <x:v>2.67</x:v>
      </x:c>
      <x:c r="M756" s="18" t="n">
        <x:v>4.33</x:v>
      </x:c>
      <x:c r="N756" s="12" t="str">
        <x:v>Design, make, alter, repair, or fit garments.</x:v>
      </x:c>
      <x:c r="O756" s="12" t="str">
        <x:v>https://www.onetonline.org/link/summary/51-6052.00</x:v>
      </x:c>
      <x:c r="P756" s="12" t="str">
        <x:v>SOC51 production occupations.</x:v>
      </x:c>
    </x:row>
    <x:row r="757" ht="37.5" customHeight="1">
      <x:c r="A757" s="15" t="str">
        <x:v>784030</x:v>
      </x:c>
      <x:c r="B757" s="12" t="str">
        <x:v>Production occupations (e.g., assemblers, bakers, metal workers, tailors, woodworkers)</x:v>
      </x:c>
      <x:c r="C757" s="35" t="str">
        <x:v>51-6061.00</x:v>
      </x:c>
      <x:c r="D757" s="12" t="str">
        <x:v>Textile Bleaching and Dyeing Machine Operators and Tenders</x:v>
      </x:c>
      <x:c r="E757" s="2" t="str">
        <x:v>Include</x:v>
      </x:c>
      <x:c r="F757" s="2" t="str">
        <x:v>Yes</x:v>
      </x:c>
      <x:c r="G757" s="15" t="str">
        <x:v>6/6</x:v>
      </x:c>
      <x:c r="H757" s="18" t="n">
        <x:v>2</x:v>
      </x:c>
      <x:c r="I757" s="18" t="n">
        <x:v>2.17</x:v>
      </x:c>
      <x:c r="J757" s="18" t="n">
        <x:v>2</x:v>
      </x:c>
      <x:c r="K757" s="18" t="n">
        <x:v>4</x:v>
      </x:c>
      <x:c r="L757" s="18" t="n">
        <x:v>4.33</x:v>
      </x:c>
      <x:c r="M757" s="18" t="n">
        <x:v>2.67</x:v>
      </x:c>
      <x:c r="N757" s="12" t="str">
        <x:v>Operate or tend machines to bleach, shrink, wash, dye, or finish textiles or synthetic or glass fibers.</x:v>
      </x:c>
      <x:c r="O757" s="12" t="str">
        <x:v>https://www.onetonline.org/link/summary/51-6061.00</x:v>
      </x:c>
      <x:c r="P757" s="12" t="str">
        <x:v>SOC51 production occupations.</x:v>
      </x:c>
    </x:row>
    <x:row r="758" ht="37.5" customHeight="1">
      <x:c r="A758" s="15" t="str">
        <x:v>784030</x:v>
      </x:c>
      <x:c r="B758" s="12" t="str">
        <x:v>Production occupations (e.g., assemblers, bakers, metal workers, tailors, woodworkers)</x:v>
      </x:c>
      <x:c r="C758" s="35" t="str">
        <x:v>51-6062.00</x:v>
      </x:c>
      <x:c r="D758" s="12" t="str">
        <x:v>Textile Cutting Machine Setters, Operators, and Tenders</x:v>
      </x:c>
      <x:c r="E758" s="2" t="str">
        <x:v>Include</x:v>
      </x:c>
      <x:c r="F758" s="2" t="str">
        <x:v>Yes</x:v>
      </x:c>
      <x:c r="G758" s="15" t="str">
        <x:v>6/6</x:v>
      </x:c>
      <x:c r="H758" s="18" t="n">
        <x:v>2.33</x:v>
      </x:c>
      <x:c r="I758" s="18" t="n">
        <x:v>2.5</x:v>
      </x:c>
      <x:c r="J758" s="18" t="n">
        <x:v>2</x:v>
      </x:c>
      <x:c r="K758" s="18" t="n">
        <x:v>3.67</x:v>
      </x:c>
      <x:c r="L758" s="18" t="n">
        <x:v>4.33</x:v>
      </x:c>
      <x:c r="M758" s="18" t="n">
        <x:v>2.33</x:v>
      </x:c>
      <x:c r="N758" s="12" t="str">
        <x:v>Set up, operate, or tend machines that cut textiles.</x:v>
      </x:c>
      <x:c r="O758" s="12" t="str">
        <x:v>https://www.onetonline.org/link/summary/51-6062.00</x:v>
      </x:c>
      <x:c r="P758" s="12" t="str">
        <x:v>SOC51 production occupations.</x:v>
      </x:c>
    </x:row>
    <x:row r="759" ht="37.5" customHeight="1">
      <x:c r="A759" s="15" t="str">
        <x:v>784030</x:v>
      </x:c>
      <x:c r="B759" s="12" t="str">
        <x:v>Production occupations (e.g., assemblers, bakers, metal workers, tailors, woodworkers)</x:v>
      </x:c>
      <x:c r="C759" s="35" t="str">
        <x:v>51-6063.00</x:v>
      </x:c>
      <x:c r="D759" s="12" t="str">
        <x:v>Textile Knitting and Weaving Machine Setters, Operators, and Tenders</x:v>
      </x:c>
      <x:c r="E759" s="2" t="str">
        <x:v>Include</x:v>
      </x:c>
      <x:c r="F759" s="2" t="str">
        <x:v>Yes</x:v>
      </x:c>
      <x:c r="G759" s="15" t="str">
        <x:v>6/6</x:v>
      </x:c>
      <x:c r="H759" s="18" t="n">
        <x:v>2</x:v>
      </x:c>
      <x:c r="I759" s="18" t="n">
        <x:v>2.5</x:v>
      </x:c>
      <x:c r="J759" s="18" t="n">
        <x:v>1.67</x:v>
      </x:c>
      <x:c r="K759" s="18" t="n">
        <x:v>3.67</x:v>
      </x:c>
      <x:c r="L759" s="18" t="n">
        <x:v>4.67</x:v>
      </x:c>
      <x:c r="M759" s="18" t="n">
        <x:v>1.67</x:v>
      </x:c>
      <x:c r="N759" s="12" t="str">
        <x:v>Set up, operate, or tend machines that knit, loop, weave, or draw in textiles.</x:v>
      </x:c>
      <x:c r="O759" s="12" t="str">
        <x:v>https://www.onetonline.org/link/summary/51-6063.00</x:v>
      </x:c>
      <x:c r="P759" s="12" t="str">
        <x:v>SOC51 production occupations.</x:v>
      </x:c>
    </x:row>
    <x:row r="760" ht="37.5" customHeight="1">
      <x:c r="A760" s="15" t="str">
        <x:v>784030</x:v>
      </x:c>
      <x:c r="B760" s="12" t="str">
        <x:v>Production occupations (e.g., assemblers, bakers, metal workers, tailors, woodworkers)</x:v>
      </x:c>
      <x:c r="C760" s="35" t="str">
        <x:v>51-6064.00</x:v>
      </x:c>
      <x:c r="D760" s="12" t="str">
        <x:v>Textile Winding, Twisting, and Drawing Out Machine Setters, Operators, and Tenders</x:v>
      </x:c>
      <x:c r="E760" s="2" t="str">
        <x:v>Include</x:v>
      </x:c>
      <x:c r="F760" s="2" t="str">
        <x:v>Yes</x:v>
      </x:c>
      <x:c r="G760" s="15" t="str">
        <x:v>6/6</x:v>
      </x:c>
      <x:c r="H760" s="18" t="n">
        <x:v>2</x:v>
      </x:c>
      <x:c r="I760" s="18" t="n">
        <x:v>2.33</x:v>
      </x:c>
      <x:c r="J760" s="18" t="n">
        <x:v>1.67</x:v>
      </x:c>
      <x:c r="K760" s="18" t="n">
        <x:v>3</x:v>
      </x:c>
      <x:c r="L760" s="18" t="n">
        <x:v>4.33</x:v>
      </x:c>
      <x:c r="M760" s="18" t="n">
        <x:v>2.67</x:v>
      </x:c>
      <x:c r="N760" s="12" t="str">
        <x:v>Set up, operate, or tend machines that wind or twist textiles; or draw out and combine sliver, such as wool, hemp, or synthetic fibers. Includes slubber machine and drawing frame operators.</x:v>
      </x:c>
      <x:c r="O760" s="12" t="str">
        <x:v>https://www.onetonline.org/link/summary/51-6064.00</x:v>
      </x:c>
      <x:c r="P760" s="12" t="str">
        <x:v>SOC51 production occupations.</x:v>
      </x:c>
    </x:row>
    <x:row r="761" ht="37.5" customHeight="1">
      <x:c r="A761" s="15" t="str">
        <x:v>784030</x:v>
      </x:c>
      <x:c r="B761" s="12" t="str">
        <x:v>Production occupations (e.g., assemblers, bakers, metal workers, tailors, woodworkers)</x:v>
      </x:c>
      <x:c r="C761" s="35" t="str">
        <x:v>51-6091.00</x:v>
      </x:c>
      <x:c r="D761" s="12" t="str">
        <x:v>Extruding and Forming Machine Setters, Operators, and Tenders, Synthetic and Glass Fibers</x:v>
      </x:c>
      <x:c r="E761" s="2" t="str">
        <x:v>Include</x:v>
      </x:c>
      <x:c r="F761" s="2" t="str">
        <x:v>Yes</x:v>
      </x:c>
      <x:c r="G761" s="15" t="str">
        <x:v>6/6</x:v>
      </x:c>
      <x:c r="H761" s="18" t="n">
        <x:v>2</x:v>
      </x:c>
      <x:c r="I761" s="18" t="n">
        <x:v>2.17</x:v>
      </x:c>
      <x:c r="J761" s="18" t="n">
        <x:v>2</x:v>
      </x:c>
      <x:c r="K761" s="18" t="n">
        <x:v>4</x:v>
      </x:c>
      <x:c r="L761" s="18" t="n">
        <x:v>6</x:v>
      </x:c>
      <x:c r="M761" s="18" t="n">
        <x:v>2.67</x:v>
      </x:c>
      <x:c r="N761" s="12" t="str">
        <x:v>Set up, operate, or tend machines that extrude and form continuous filaments from synthetic materials, such as liquid polymer, rayon, and fiberglass.</x:v>
      </x:c>
      <x:c r="O761" s="12" t="str">
        <x:v>https://www.onetonline.org/link/summary/51-6091.00</x:v>
      </x:c>
      <x:c r="P761" s="12" t="str">
        <x:v>SOC51 production occupations.</x:v>
      </x:c>
    </x:row>
    <x:row r="762" ht="37.5" customHeight="1">
      <x:c r="A762" s="15" t="str">
        <x:v>784030</x:v>
      </x:c>
      <x:c r="B762" s="12" t="str">
        <x:v>Production occupations (e.g., assemblers, bakers, metal workers, tailors, woodworkers)</x:v>
      </x:c>
      <x:c r="C762" s="35" t="str">
        <x:v>51-6092.00</x:v>
      </x:c>
      <x:c r="D762" s="12" t="str">
        <x:v>Fabric and Apparel Patternmakers</x:v>
      </x:c>
      <x:c r="E762" s="2" t="str">
        <x:v>Include</x:v>
      </x:c>
      <x:c r="F762" s="2" t="str">
        <x:v>Yes</x:v>
      </x:c>
      <x:c r="G762" s="15" t="str">
        <x:v>6/6</x:v>
      </x:c>
      <x:c r="H762" s="18" t="n">
        <x:v>3.33</x:v>
      </x:c>
      <x:c r="I762" s="18" t="n">
        <x:v>3.67</x:v>
      </x:c>
      <x:c r="J762" s="18" t="n">
        <x:v>2.33</x:v>
      </x:c>
      <x:c r="K762" s="18" t="n">
        <x:v>4</x:v>
      </x:c>
      <x:c r="L762" s="18" t="n">
        <x:v>4</x:v>
      </x:c>
      <x:c r="M762" s="18" t="n">
        <x:v>3.67</x:v>
      </x:c>
      <x:c r="N762" s="12" t="str">
        <x:v>Draw and construct sets of precision master fabric patterns or layouts. May also mark and cut fabrics and apparel.</x:v>
      </x:c>
      <x:c r="O762" s="12" t="str">
        <x:v>https://www.onetonline.org/link/summary/51-6092.00</x:v>
      </x:c>
      <x:c r="P762" s="12" t="str">
        <x:v>SOC51 production occupations.</x:v>
      </x:c>
    </x:row>
    <x:row r="763" ht="37.5" customHeight="1">
      <x:c r="A763" s="15" t="str">
        <x:v>784030</x:v>
      </x:c>
      <x:c r="B763" s="12" t="str">
        <x:v>Production occupations (e.g., assemblers, bakers, metal workers, tailors, woodworkers)</x:v>
      </x:c>
      <x:c r="C763" s="35" t="str">
        <x:v>51-6093.00</x:v>
      </x:c>
      <x:c r="D763" s="12" t="str">
        <x:v>Upholsterers</x:v>
      </x:c>
      <x:c r="E763" s="2" t="str">
        <x:v>Include</x:v>
      </x:c>
      <x:c r="F763" s="2" t="str">
        <x:v>Yes</x:v>
      </x:c>
      <x:c r="G763" s="15" t="str">
        <x:v>6/6</x:v>
      </x:c>
      <x:c r="H763" s="18" t="n">
        <x:v>3.33</x:v>
      </x:c>
      <x:c r="I763" s="18" t="n">
        <x:v>3.33</x:v>
      </x:c>
      <x:c r="J763" s="18" t="n">
        <x:v>2.33</x:v>
      </x:c>
      <x:c r="K763" s="18" t="n">
        <x:v>3.33</x:v>
      </x:c>
      <x:c r="L763" s="18" t="n">
        <x:v>4.33</x:v>
      </x:c>
      <x:c r="M763" s="18" t="n">
        <x:v>3.33</x:v>
      </x:c>
      <x:c r="N763" s="12" t="str">
        <x:v>Make, repair, or replace upholstery for household furniture or transportation vehicles.</x:v>
      </x:c>
      <x:c r="O763" s="12" t="str">
        <x:v>https://www.onetonline.org/link/summary/51-6093.00</x:v>
      </x:c>
      <x:c r="P763" s="12" t="str">
        <x:v>SOC51 production occupations.</x:v>
      </x:c>
    </x:row>
    <x:row r="764" ht="37.5" customHeight="1">
      <x:c r="A764" s="15" t="str">
        <x:v>784030</x:v>
      </x:c>
      <x:c r="B764" s="12" t="str">
        <x:v>Production occupations (e.g., assemblers, bakers, metal workers, tailors, woodworkers)</x:v>
      </x:c>
      <x:c r="C764" s="35" t="str">
        <x:v>51-6099.00</x:v>
      </x:c>
      <x:c r="D764" s="12" t="str">
        <x:v>Textile, Apparel, and Furnishings Workers, All Other</x:v>
      </x:c>
      <x:c r="E764" s="2" t="str">
        <x:v>Exclude (no Work Values)</x:v>
      </x:c>
      <x:c r="F764" s="2" t="str">
        <x:v>Yes</x:v>
      </x:c>
      <x:c r="G764" s="15" t="str">
        <x:v>0/6</x:v>
      </x:c>
      <x:c r="H764" s="18"/>
      <x:c r="I764" s="18"/>
      <x:c r="J764" s="18"/>
      <x:c r="K764" s="18"/>
      <x:c r="L764" s="18"/>
      <x:c r="M764" s="18"/>
      <x:c r="N764" s="12" t="str">
        <x:v>All textile, apparel, and furnishings workers not listed separately.</x:v>
      </x:c>
      <x:c r="O764" s="12" t="str">
        <x:v>https://www.onetonline.org/link/summary/51-6099.00</x:v>
      </x:c>
      <x:c r="P764" s="12" t="str">
        <x:v>SOC51 production occupations.</x:v>
      </x:c>
    </x:row>
    <x:row r="765" ht="37.5" customHeight="1">
      <x:c r="A765" s="15" t="str">
        <x:v>784030</x:v>
      </x:c>
      <x:c r="B765" s="12" t="str">
        <x:v>Production occupations (e.g., assemblers, bakers, metal workers, tailors, woodworkers)</x:v>
      </x:c>
      <x:c r="C765" s="35" t="str">
        <x:v>51-7011.00</x:v>
      </x:c>
      <x:c r="D765" s="12" t="str">
        <x:v>Cabinetmakers and Bench Carpenters</x:v>
      </x:c>
      <x:c r="E765" s="2" t="str">
        <x:v>Include</x:v>
      </x:c>
      <x:c r="F765" s="2" t="str">
        <x:v>Yes</x:v>
      </x:c>
      <x:c r="G765" s="15" t="str">
        <x:v>6/6</x:v>
      </x:c>
      <x:c r="H765" s="18" t="n">
        <x:v>3.33</x:v>
      </x:c>
      <x:c r="I765" s="18" t="n">
        <x:v>3.17</x:v>
      </x:c>
      <x:c r="J765" s="18" t="n">
        <x:v>2.67</x:v>
      </x:c>
      <x:c r="K765" s="18" t="n">
        <x:v>4.33</x:v>
      </x:c>
      <x:c r="L765" s="18" t="n">
        <x:v>3.67</x:v>
      </x:c>
      <x:c r="M765" s="18" t="n">
        <x:v>3.33</x:v>
      </x:c>
      <x:c r="N765" s="12" t="str">
        <x:v>Cut, shape, and assemble wooden articles or set up and operate a variety of woodworking machines, such as power saws, jointers, and mortisers to surface, cut, or shape lumber or to fabricate parts for wood products.</x:v>
      </x:c>
      <x:c r="O765" s="12" t="str">
        <x:v>https://www.onetonline.org/link/summary/51-7011.00</x:v>
      </x:c>
      <x:c r="P765" s="12" t="str">
        <x:v>SOC51 production occupations.</x:v>
      </x:c>
    </x:row>
    <x:row r="766" ht="37.5" customHeight="1">
      <x:c r="A766" s="15" t="str">
        <x:v>784030</x:v>
      </x:c>
      <x:c r="B766" s="12" t="str">
        <x:v>Production occupations (e.g., assemblers, bakers, metal workers, tailors, woodworkers)</x:v>
      </x:c>
      <x:c r="C766" s="35" t="str">
        <x:v>51-7021.00</x:v>
      </x:c>
      <x:c r="D766" s="12" t="str">
        <x:v>Furniture Finishers</x:v>
      </x:c>
      <x:c r="E766" s="2" t="str">
        <x:v>Include</x:v>
      </x:c>
      <x:c r="F766" s="2" t="str">
        <x:v>Yes</x:v>
      </x:c>
      <x:c r="G766" s="15" t="str">
        <x:v>6/6</x:v>
      </x:c>
      <x:c r="H766" s="18" t="n">
        <x:v>2</x:v>
      </x:c>
      <x:c r="I766" s="18" t="n">
        <x:v>2.5</x:v>
      </x:c>
      <x:c r="J766" s="18" t="n">
        <x:v>2.33</x:v>
      </x:c>
      <x:c r="K766" s="18" t="n">
        <x:v>3.33</x:v>
      </x:c>
      <x:c r="L766" s="18" t="n">
        <x:v>4</x:v>
      </x:c>
      <x:c r="M766" s="18" t="n">
        <x:v>2.33</x:v>
      </x:c>
      <x:c r="N766" s="12" t="str">
        <x:v>Shape, finish, and refinish damaged, worn, or used furniture or new high-grade furniture to specified color or finish.</x:v>
      </x:c>
      <x:c r="O766" s="12" t="str">
        <x:v>https://www.onetonline.org/link/summary/51-7021.00</x:v>
      </x:c>
      <x:c r="P766" s="12" t="str">
        <x:v>SOC51 production occupations.</x:v>
      </x:c>
    </x:row>
    <x:row r="767" ht="37.5" customHeight="1">
      <x:c r="A767" s="15" t="str">
        <x:v>784030</x:v>
      </x:c>
      <x:c r="B767" s="12" t="str">
        <x:v>Production occupations (e.g., assemblers, bakers, metal workers, tailors, woodworkers)</x:v>
      </x:c>
      <x:c r="C767" s="35" t="str">
        <x:v>51-7031.00</x:v>
      </x:c>
      <x:c r="D767" s="12" t="str">
        <x:v>Model Makers, Wood</x:v>
      </x:c>
      <x:c r="E767" s="2" t="str">
        <x:v>Include</x:v>
      </x:c>
      <x:c r="F767" s="2" t="str">
        <x:v>Yes</x:v>
      </x:c>
      <x:c r="G767" s="15" t="str">
        <x:v>6/6</x:v>
      </x:c>
      <x:c r="H767" s="18" t="n">
        <x:v>3.33</x:v>
      </x:c>
      <x:c r="I767" s="18" t="n">
        <x:v>3.17</x:v>
      </x:c>
      <x:c r="J767" s="18" t="n">
        <x:v>2.67</x:v>
      </x:c>
      <x:c r="K767" s="18" t="n">
        <x:v>3</x:v>
      </x:c>
      <x:c r="L767" s="18" t="n">
        <x:v>5</x:v>
      </x:c>
      <x:c r="M767" s="18" t="n">
        <x:v>5</x:v>
      </x:c>
      <x:c r="N767" s="12" t="str">
        <x:v>Construct full-size and scale wooden precision models of products. Includes wood jig builders and loft workers.</x:v>
      </x:c>
      <x:c r="O767" s="12" t="str">
        <x:v>https://www.onetonline.org/link/summary/51-7031.00</x:v>
      </x:c>
      <x:c r="P767" s="12" t="str">
        <x:v>SOC51 production occupations.</x:v>
      </x:c>
    </x:row>
    <x:row r="768" ht="37.5" customHeight="1">
      <x:c r="A768" s="15" t="str">
        <x:v>784030</x:v>
      </x:c>
      <x:c r="B768" s="12" t="str">
        <x:v>Production occupations (e.g., assemblers, bakers, metal workers, tailors, woodworkers)</x:v>
      </x:c>
      <x:c r="C768" s="35" t="str">
        <x:v>51-7032.00</x:v>
      </x:c>
      <x:c r="D768" s="12" t="str">
        <x:v>Patternmakers, Wood</x:v>
      </x:c>
      <x:c r="E768" s="2" t="str">
        <x:v>Include</x:v>
      </x:c>
      <x:c r="F768" s="2" t="str">
        <x:v>Yes</x:v>
      </x:c>
      <x:c r="G768" s="15" t="str">
        <x:v>6/6</x:v>
      </x:c>
      <x:c r="H768" s="18" t="n">
        <x:v>2.67</x:v>
      </x:c>
      <x:c r="I768" s="18" t="n">
        <x:v>3.17</x:v>
      </x:c>
      <x:c r="J768" s="18" t="n">
        <x:v>2.67</x:v>
      </x:c>
      <x:c r="K768" s="18" t="n">
        <x:v>3.67</x:v>
      </x:c>
      <x:c r="L768" s="18" t="n">
        <x:v>5</x:v>
      </x:c>
      <x:c r="M768" s="18" t="n">
        <x:v>3.33</x:v>
      </x:c>
      <x:c r="N768" s="12" t="str">
        <x:v>Plan, lay out, and construct wooden unit or sectional patterns used in forming sand molds for castings.</x:v>
      </x:c>
      <x:c r="O768" s="12" t="str">
        <x:v>https://www.onetonline.org/link/summary/51-7032.00</x:v>
      </x:c>
      <x:c r="P768" s="12" t="str">
        <x:v>SOC51 production occupations.</x:v>
      </x:c>
    </x:row>
    <x:row r="769" ht="37.5" customHeight="1">
      <x:c r="A769" s="15" t="str">
        <x:v>784030</x:v>
      </x:c>
      <x:c r="B769" s="12" t="str">
        <x:v>Production occupations (e.g., assemblers, bakers, metal workers, tailors, woodworkers)</x:v>
      </x:c>
      <x:c r="C769" s="35" t="str">
        <x:v>51-7041.00</x:v>
      </x:c>
      <x:c r="D769" s="12" t="str">
        <x:v>Sawing Machine Setters, Operators, and Tenders, Wood</x:v>
      </x:c>
      <x:c r="E769" s="2" t="str">
        <x:v>Include</x:v>
      </x:c>
      <x:c r="F769" s="2" t="str">
        <x:v>Yes</x:v>
      </x:c>
      <x:c r="G769" s="15" t="str">
        <x:v>6/6</x:v>
      </x:c>
      <x:c r="H769" s="18" t="n">
        <x:v>3</x:v>
      </x:c>
      <x:c r="I769" s="18" t="n">
        <x:v>3</x:v>
      </x:c>
      <x:c r="J769" s="18" t="n">
        <x:v>2</x:v>
      </x:c>
      <x:c r="K769" s="18" t="n">
        <x:v>3</x:v>
      </x:c>
      <x:c r="L769" s="18" t="n">
        <x:v>5.33</x:v>
      </x:c>
      <x:c r="M769" s="18" t="n">
        <x:v>3.33</x:v>
      </x:c>
      <x:c r="N769" s="12" t="str">
        <x:v>Set up, operate, or tend wood sawing machines. May operate computer numerically controlled (CNC) equipment. Includes lead sawyers.</x:v>
      </x:c>
      <x:c r="O769" s="12" t="str">
        <x:v>https://www.onetonline.org/link/summary/51-7041.00</x:v>
      </x:c>
      <x:c r="P769" s="12" t="str">
        <x:v>SOC51 production occupations.</x:v>
      </x:c>
    </x:row>
    <x:row r="770" ht="37.5" customHeight="1">
      <x:c r="A770" s="15" t="str">
        <x:v>784030</x:v>
      </x:c>
      <x:c r="B770" s="12" t="str">
        <x:v>Production occupations (e.g., assemblers, bakers, metal workers, tailors, woodworkers)</x:v>
      </x:c>
      <x:c r="C770" s="35" t="str">
        <x:v>51-7042.00</x:v>
      </x:c>
      <x:c r="D770" s="12" t="str">
        <x:v>Woodworking Machine Setters, Operators, and Tenders, Except Sawing</x:v>
      </x:c>
      <x:c r="E770" s="2" t="str">
        <x:v>Include</x:v>
      </x:c>
      <x:c r="F770" s="2" t="str">
        <x:v>Yes</x:v>
      </x:c>
      <x:c r="G770" s="15" t="str">
        <x:v>6/6</x:v>
      </x:c>
      <x:c r="H770" s="18" t="n">
        <x:v>2.33</x:v>
      </x:c>
      <x:c r="I770" s="18" t="n">
        <x:v>3</x:v>
      </x:c>
      <x:c r="J770" s="18" t="n">
        <x:v>2.33</x:v>
      </x:c>
      <x:c r="K770" s="18" t="n">
        <x:v>3</x:v>
      </x:c>
      <x:c r="L770" s="18" t="n">
        <x:v>5.67</x:v>
      </x:c>
      <x:c r="M770" s="18" t="n">
        <x:v>3.33</x:v>
      </x:c>
      <x:c r="N770" s="12" t="str">
        <x:v>Set up, operate, or tend woodworking machines, such as drill presses, lathes, shapers, routers, sanders, planers, and wood nailing machines. May operate computer numerically controlled (CNC) equipment.</x:v>
      </x:c>
      <x:c r="O770" s="12" t="str">
        <x:v>https://www.onetonline.org/link/summary/51-7042.00</x:v>
      </x:c>
      <x:c r="P770" s="12" t="str">
        <x:v>SOC51 production occupations.</x:v>
      </x:c>
    </x:row>
    <x:row r="771" ht="37.5" customHeight="1">
      <x:c r="A771" s="15" t="str">
        <x:v>784030</x:v>
      </x:c>
      <x:c r="B771" s="12" t="str">
        <x:v>Production occupations (e.g., assemblers, bakers, metal workers, tailors, woodworkers)</x:v>
      </x:c>
      <x:c r="C771" s="35" t="str">
        <x:v>51-7099.00</x:v>
      </x:c>
      <x:c r="D771" s="12" t="str">
        <x:v>Woodworkers, All Other</x:v>
      </x:c>
      <x:c r="E771" s="2" t="str">
        <x:v>Exclude (no Work Values)</x:v>
      </x:c>
      <x:c r="F771" s="2" t="str">
        <x:v>Yes</x:v>
      </x:c>
      <x:c r="G771" s="15" t="str">
        <x:v>0/6</x:v>
      </x:c>
      <x:c r="H771" s="18"/>
      <x:c r="I771" s="18"/>
      <x:c r="J771" s="18"/>
      <x:c r="K771" s="18"/>
      <x:c r="L771" s="18"/>
      <x:c r="M771" s="18"/>
      <x:c r="N771" s="12" t="str">
        <x:v>All woodworkers not listed separately.</x:v>
      </x:c>
      <x:c r="O771" s="12" t="str">
        <x:v>https://www.onetonline.org/link/summary/51-7099.00</x:v>
      </x:c>
      <x:c r="P771" s="12" t="str">
        <x:v>SOC51 production occupations.</x:v>
      </x:c>
    </x:row>
    <x:row r="772" ht="37.5" customHeight="1">
      <x:c r="A772" s="15" t="str">
        <x:v>784030</x:v>
      </x:c>
      <x:c r="B772" s="12" t="str">
        <x:v>Production occupations (e.g., assemblers, bakers, metal workers, tailors, woodworkers)</x:v>
      </x:c>
      <x:c r="C772" s="35" t="str">
        <x:v>51-8011.00</x:v>
      </x:c>
      <x:c r="D772" s="12" t="str">
        <x:v>Nuclear Power Reactor Operators</x:v>
      </x:c>
      <x:c r="E772" s="2" t="str">
        <x:v>Include</x:v>
      </x:c>
      <x:c r="F772" s="2" t="str">
        <x:v>Yes</x:v>
      </x:c>
      <x:c r="G772" s="15" t="str">
        <x:v>6/6</x:v>
      </x:c>
      <x:c r="H772" s="18" t="n">
        <x:v>3.67</x:v>
      </x:c>
      <x:c r="I772" s="18" t="n">
        <x:v>4</x:v>
      </x:c>
      <x:c r="J772" s="18" t="n">
        <x:v>3.67</x:v>
      </x:c>
      <x:c r="K772" s="18" t="n">
        <x:v>3.67</x:v>
      </x:c>
      <x:c r="L772" s="18" t="n">
        <x:v>6.33</x:v>
      </x:c>
      <x:c r="M772" s="18" t="n">
        <x:v>3.33</x:v>
      </x:c>
      <x:c r="N772" s="12" t="str">
        <x:v>Operate or control nuclear reactors. Move control rods, start and stop equipment, monitor and adjust controls, and record data in logs. Implement emergency procedures when needed. May respond to abnormalities, determine cause, and recommend corrective action.</x:v>
      </x:c>
      <x:c r="O772" s="12" t="str">
        <x:v>https://www.onetonline.org/link/summary/51-8011.00</x:v>
      </x:c>
      <x:c r="P772" s="12" t="str">
        <x:v>SOC51 production occupations.</x:v>
      </x:c>
    </x:row>
    <x:row r="773" ht="37.5" customHeight="1">
      <x:c r="A773" s="15" t="str">
        <x:v>784030</x:v>
      </x:c>
      <x:c r="B773" s="12" t="str">
        <x:v>Production occupations (e.g., assemblers, bakers, metal workers, tailors, woodworkers)</x:v>
      </x:c>
      <x:c r="C773" s="35" t="str">
        <x:v>51-8012.00</x:v>
      </x:c>
      <x:c r="D773" s="12" t="str">
        <x:v>Power Distributors and Dispatchers</x:v>
      </x:c>
      <x:c r="E773" s="2" t="str">
        <x:v>Include</x:v>
      </x:c>
      <x:c r="F773" s="2" t="str">
        <x:v>Yes</x:v>
      </x:c>
      <x:c r="G773" s="15" t="str">
        <x:v>6/6</x:v>
      </x:c>
      <x:c r="H773" s="18" t="n">
        <x:v>4.33</x:v>
      </x:c>
      <x:c r="I773" s="18" t="n">
        <x:v>4.67</x:v>
      </x:c>
      <x:c r="J773" s="18" t="n">
        <x:v>3.67</x:v>
      </x:c>
      <x:c r="K773" s="18" t="n">
        <x:v>4.67</x:v>
      </x:c>
      <x:c r="L773" s="18" t="n">
        <x:v>6</x:v>
      </x:c>
      <x:c r="M773" s="18" t="n">
        <x:v>5</x:v>
      </x:c>
      <x:c r="N773" s="12" t="str">
        <x:v>Coordinate, regulate, or distribute electricity or steam.</x:v>
      </x:c>
      <x:c r="O773" s="12" t="str">
        <x:v>https://www.onetonline.org/link/summary/51-8012.00</x:v>
      </x:c>
      <x:c r="P773" s="12" t="str">
        <x:v>SOC51 production occupations.</x:v>
      </x:c>
    </x:row>
    <x:row r="774" ht="37.5" customHeight="1">
      <x:c r="A774" s="15" t="str">
        <x:v>784030</x:v>
      </x:c>
      <x:c r="B774" s="12" t="str">
        <x:v>Production occupations (e.g., assemblers, bakers, metal workers, tailors, woodworkers)</x:v>
      </x:c>
      <x:c r="C774" s="35" t="str">
        <x:v>51-8013.00</x:v>
      </x:c>
      <x:c r="D774" s="12" t="str">
        <x:v>Power Plant Operators</x:v>
      </x:c>
      <x:c r="E774" s="2" t="str">
        <x:v>Include</x:v>
      </x:c>
      <x:c r="F774" s="2" t="str">
        <x:v>Yes</x:v>
      </x:c>
      <x:c r="G774" s="15" t="str">
        <x:v>6/6</x:v>
      </x:c>
      <x:c r="H774" s="18" t="n">
        <x:v>3.33</x:v>
      </x:c>
      <x:c r="I774" s="18" t="n">
        <x:v>3.5</x:v>
      </x:c>
      <x:c r="J774" s="18" t="n">
        <x:v>2.67</x:v>
      </x:c>
      <x:c r="K774" s="18" t="n">
        <x:v>5</x:v>
      </x:c>
      <x:c r="L774" s="18" t="n">
        <x:v>5.67</x:v>
      </x:c>
      <x:c r="M774" s="18" t="n">
        <x:v>3.67</x:v>
      </x:c>
      <x:c r="N774" s="12" t="str">
        <x:v>Control, operate, or maintain machinery to generate electric power. Includes auxiliary equipment operators.</x:v>
      </x:c>
      <x:c r="O774" s="12" t="str">
        <x:v>https://www.onetonline.org/link/summary/51-8013.00</x:v>
      </x:c>
      <x:c r="P774" s="12" t="str">
        <x:v>SOC51 production occupations.</x:v>
      </x:c>
    </x:row>
    <x:row r="775" ht="37.5" customHeight="1">
      <x:c r="A775" s="15" t="str">
        <x:v>784030</x:v>
      </x:c>
      <x:c r="B775" s="12" t="str">
        <x:v>Production occupations (e.g., assemblers, bakers, metal workers, tailors, woodworkers)</x:v>
      </x:c>
      <x:c r="C775" s="35" t="str">
        <x:v>51-8021.00</x:v>
      </x:c>
      <x:c r="D775" s="12" t="str">
        <x:v>Stationary Engineers and Boiler Operators</x:v>
      </x:c>
      <x:c r="E775" s="2" t="str">
        <x:v>Include</x:v>
      </x:c>
      <x:c r="F775" s="2" t="str">
        <x:v>Yes</x:v>
      </x:c>
      <x:c r="G775" s="15" t="str">
        <x:v>6/6</x:v>
      </x:c>
      <x:c r="H775" s="18" t="n">
        <x:v>2.67</x:v>
      </x:c>
      <x:c r="I775" s="18" t="n">
        <x:v>3.67</x:v>
      </x:c>
      <x:c r="J775" s="18" t="n">
        <x:v>2.33</x:v>
      </x:c>
      <x:c r="K775" s="18" t="n">
        <x:v>4.67</x:v>
      </x:c>
      <x:c r="L775" s="18" t="n">
        <x:v>5</x:v>
      </x:c>
      <x:c r="M775" s="18" t="n">
        <x:v>3.67</x:v>
      </x:c>
      <x:c r="N775" s="12" t="str">
        <x:v>Operate or maintain stationary engines, boilers, or other mechanical equipment to provide utilities for buildings or industrial processes. Operate equipment such as steam engines, generators, motors, turbines, and steam boilers.</x:v>
      </x:c>
      <x:c r="O775" s="12" t="str">
        <x:v>https://www.onetonline.org/link/summary/51-8021.00</x:v>
      </x:c>
      <x:c r="P775" s="12" t="str">
        <x:v>SOC51 production occupations.</x:v>
      </x:c>
    </x:row>
    <x:row r="776" ht="37.5" customHeight="1">
      <x:c r="A776" s="15" t="str">
        <x:v>784030</x:v>
      </x:c>
      <x:c r="B776" s="12" t="str">
        <x:v>Production occupations (e.g., assemblers, bakers, metal workers, tailors, woodworkers)</x:v>
      </x:c>
      <x:c r="C776" s="35" t="str">
        <x:v>51-8031.00</x:v>
      </x:c>
      <x:c r="D776" s="12" t="str">
        <x:v>Water and Wastewater Treatment Plant and System Operators</x:v>
      </x:c>
      <x:c r="E776" s="2" t="str">
        <x:v>Include</x:v>
      </x:c>
      <x:c r="F776" s="2" t="str">
        <x:v>Yes</x:v>
      </x:c>
      <x:c r="G776" s="15" t="str">
        <x:v>6/6</x:v>
      </x:c>
      <x:c r="H776" s="18" t="n">
        <x:v>3</x:v>
      </x:c>
      <x:c r="I776" s="18" t="n">
        <x:v>2.83</x:v>
      </x:c>
      <x:c r="J776" s="18" t="n">
        <x:v>2.33</x:v>
      </x:c>
      <x:c r="K776" s="18" t="n">
        <x:v>2.33</x:v>
      </x:c>
      <x:c r="L776" s="18" t="n">
        <x:v>5.67</x:v>
      </x:c>
      <x:c r="M776" s="18" t="n">
        <x:v>4.67</x:v>
      </x:c>
      <x:c r="N776" s="12" t="str">
        <x:v>Operate or control an entire process or system of machines, often through the use of control boards, to transfer or treat water or wastewater.</x:v>
      </x:c>
      <x:c r="O776" s="12" t="str">
        <x:v>https://www.onetonline.org/link/summary/51-8031.00</x:v>
      </x:c>
      <x:c r="P776" s="12" t="str">
        <x:v>SOC51 production occupations.</x:v>
      </x:c>
    </x:row>
    <x:row r="777" ht="37.5" customHeight="1">
      <x:c r="A777" s="15" t="str">
        <x:v>784030</x:v>
      </x:c>
      <x:c r="B777" s="12" t="str">
        <x:v>Production occupations (e.g., assemblers, bakers, metal workers, tailors, woodworkers)</x:v>
      </x:c>
      <x:c r="C777" s="35" t="str">
        <x:v>51-8091.00</x:v>
      </x:c>
      <x:c r="D777" s="12" t="str">
        <x:v>Chemical Plant and System Operators</x:v>
      </x:c>
      <x:c r="E777" s="2" t="str">
        <x:v>Include</x:v>
      </x:c>
      <x:c r="F777" s="2" t="str">
        <x:v>Yes</x:v>
      </x:c>
      <x:c r="G777" s="15" t="str">
        <x:v>6/6</x:v>
      </x:c>
      <x:c r="H777" s="18" t="n">
        <x:v>3.33</x:v>
      </x:c>
      <x:c r="I777" s="18" t="n">
        <x:v>4.67</x:v>
      </x:c>
      <x:c r="J777" s="18" t="n">
        <x:v>3</x:v>
      </x:c>
      <x:c r="K777" s="18" t="n">
        <x:v>4</x:v>
      </x:c>
      <x:c r="L777" s="18" t="n">
        <x:v>5.67</x:v>
      </x:c>
      <x:c r="M777" s="18" t="n">
        <x:v>4.33</x:v>
      </x:c>
      <x:c r="N777" s="12" t="str">
        <x:v>Control or operate entire chemical processes or system of machines.</x:v>
      </x:c>
      <x:c r="O777" s="12" t="str">
        <x:v>https://www.onetonline.org/link/summary/51-8091.00</x:v>
      </x:c>
      <x:c r="P777" s="12" t="str">
        <x:v>SOC51 production occupations.</x:v>
      </x:c>
    </x:row>
    <x:row r="778" ht="37.5" customHeight="1">
      <x:c r="A778" s="15" t="str">
        <x:v>784030</x:v>
      </x:c>
      <x:c r="B778" s="12" t="str">
        <x:v>Production occupations (e.g., assemblers, bakers, metal workers, tailors, woodworkers)</x:v>
      </x:c>
      <x:c r="C778" s="35" t="str">
        <x:v>51-8092.00</x:v>
      </x:c>
      <x:c r="D778" s="12" t="str">
        <x:v>Gas Plant Operators</x:v>
      </x:c>
      <x:c r="E778" s="2" t="str">
        <x:v>Include</x:v>
      </x:c>
      <x:c r="F778" s="2" t="str">
        <x:v>Yes</x:v>
      </x:c>
      <x:c r="G778" s="15" t="str">
        <x:v>6/6</x:v>
      </x:c>
      <x:c r="H778" s="18" t="n">
        <x:v>3.67</x:v>
      </x:c>
      <x:c r="I778" s="18" t="n">
        <x:v>4.17</x:v>
      </x:c>
      <x:c r="J778" s="18" t="n">
        <x:v>2.67</x:v>
      </x:c>
      <x:c r="K778" s="18" t="n">
        <x:v>3.67</x:v>
      </x:c>
      <x:c r="L778" s="18" t="n">
        <x:v>6</x:v>
      </x:c>
      <x:c r="M778" s="18" t="n">
        <x:v>4.67</x:v>
      </x:c>
      <x:c r="N778" s="12" t="str">
        <x:v>Distribute or process gas for utility companies and others by controlling compressors to maintain specified pressures on main pipelines.</x:v>
      </x:c>
      <x:c r="O778" s="12" t="str">
        <x:v>https://www.onetonline.org/link/summary/51-8092.00</x:v>
      </x:c>
      <x:c r="P778" s="12" t="str">
        <x:v>SOC51 production occupations.</x:v>
      </x:c>
    </x:row>
    <x:row r="779" ht="37.5" customHeight="1">
      <x:c r="A779" s="15" t="str">
        <x:v>784030</x:v>
      </x:c>
      <x:c r="B779" s="12" t="str">
        <x:v>Production occupations (e.g., assemblers, bakers, metal workers, tailors, woodworkers)</x:v>
      </x:c>
      <x:c r="C779" s="35" t="str">
        <x:v>51-8093.00</x:v>
      </x:c>
      <x:c r="D779" s="12" t="str">
        <x:v>Petroleum Pump System Operators, Refinery Operators, and Gaugers</x:v>
      </x:c>
      <x:c r="E779" s="2" t="str">
        <x:v>Include</x:v>
      </x:c>
      <x:c r="F779" s="2" t="str">
        <x:v>Yes</x:v>
      </x:c>
      <x:c r="G779" s="15" t="str">
        <x:v>6/6</x:v>
      </x:c>
      <x:c r="H779" s="18" t="n">
        <x:v>3.33</x:v>
      </x:c>
      <x:c r="I779" s="18" t="n">
        <x:v>4.33</x:v>
      </x:c>
      <x:c r="J779" s="18" t="n">
        <x:v>3</x:v>
      </x:c>
      <x:c r="K779" s="18" t="n">
        <x:v>3.67</x:v>
      </x:c>
      <x:c r="L779" s="18" t="n">
        <x:v>5.67</x:v>
      </x:c>
      <x:c r="M779" s="18" t="n">
        <x:v>4.33</x:v>
      </x:c>
      <x:c r="N779" s="12" t="str">
        <x:v>Operate or control petroleum refining or processing units. May specialize in controlling manifold and pumping systems, gauging or testing oil in storage tanks, or regulating the flow of oil into pipelines.</x:v>
      </x:c>
      <x:c r="O779" s="12" t="str">
        <x:v>https://www.onetonline.org/link/summary/51-8093.00</x:v>
      </x:c>
      <x:c r="P779" s="12" t="str">
        <x:v>SOC51 production occupations.</x:v>
      </x:c>
    </x:row>
    <x:row r="780" ht="37.5" customHeight="1">
      <x:c r="A780" s="15" t="str">
        <x:v>784030</x:v>
      </x:c>
      <x:c r="B780" s="12" t="str">
        <x:v>Production occupations (e.g., assemblers, bakers, metal workers, tailors, woodworkers)</x:v>
      </x:c>
      <x:c r="C780" s="35" t="str">
        <x:v>51-8099.00</x:v>
      </x:c>
      <x:c r="D780" s="12" t="str">
        <x:v>Plant and System Operators, All Other</x:v>
      </x:c>
      <x:c r="E780" s="2" t="str">
        <x:v>Exclude (no Work Values)</x:v>
      </x:c>
      <x:c r="F780" s="2" t="str">
        <x:v>Yes</x:v>
      </x:c>
      <x:c r="G780" s="15" t="str">
        <x:v>0/6</x:v>
      </x:c>
      <x:c r="H780" s="18"/>
      <x:c r="I780" s="18"/>
      <x:c r="J780" s="18"/>
      <x:c r="K780" s="18"/>
      <x:c r="L780" s="18"/>
      <x:c r="M780" s="18"/>
      <x:c r="N780" s="12" t="str">
        <x:v>All plant and system operators not listed separately.</x:v>
      </x:c>
      <x:c r="O780" s="12" t="str">
        <x:v>https://www.onetonline.org/link/summary/51-8099.00</x:v>
      </x:c>
      <x:c r="P780" s="12" t="str">
        <x:v>SOC51 production occupations.</x:v>
      </x:c>
    </x:row>
    <x:row r="781" ht="37.5" customHeight="1">
      <x:c r="A781" s="15" t="str">
        <x:v>784030</x:v>
      </x:c>
      <x:c r="B781" s="12" t="str">
        <x:v>Production occupations (e.g., assemblers, bakers, metal workers, tailors, woodworkers)</x:v>
      </x:c>
      <x:c r="C781" s="35" t="str">
        <x:v>51-9011.00</x:v>
      </x:c>
      <x:c r="D781" s="12" t="str">
        <x:v>Chemical Equipment Operators and Tenders</x:v>
      </x:c>
      <x:c r="E781" s="2" t="str">
        <x:v>Include</x:v>
      </x:c>
      <x:c r="F781" s="2" t="str">
        <x:v>Yes</x:v>
      </x:c>
      <x:c r="G781" s="15" t="str">
        <x:v>6/6</x:v>
      </x:c>
      <x:c r="H781" s="18" t="n">
        <x:v>3.33</x:v>
      </x:c>
      <x:c r="I781" s="18" t="n">
        <x:v>3.67</x:v>
      </x:c>
      <x:c r="J781" s="18" t="n">
        <x:v>2.33</x:v>
      </x:c>
      <x:c r="K781" s="18" t="n">
        <x:v>4.33</x:v>
      </x:c>
      <x:c r="L781" s="18" t="n">
        <x:v>6</x:v>
      </x:c>
      <x:c r="M781" s="18" t="n">
        <x:v>4.33</x:v>
      </x:c>
      <x:c r="N781" s="12" t="str">
        <x:v>Operate or tend equipment to control chemical changes or reactions in the processing of industrial or consumer products. Equipment used includes devulcanizers, steam-jacketed kettles, and reactor vessels.</x:v>
      </x:c>
      <x:c r="O781" s="12" t="str">
        <x:v>https://www.onetonline.org/link/summary/51-9011.00</x:v>
      </x:c>
      <x:c r="P781" s="12" t="str">
        <x:v>SOC51 production occupations.</x:v>
      </x:c>
    </x:row>
    <x:row r="782" ht="37.5" customHeight="1">
      <x:c r="A782" s="15" t="str">
        <x:v>784030</x:v>
      </x:c>
      <x:c r="B782" s="12" t="str">
        <x:v>Production occupations (e.g., assemblers, bakers, metal workers, tailors, woodworkers)</x:v>
      </x:c>
      <x:c r="C782" s="35" t="str">
        <x:v>51-9012.00</x:v>
      </x:c>
      <x:c r="D782" s="12" t="str">
        <x:v>Separating, Filtering, Clarifying, Precipitating, and Still Machine Setters, Operators, and Tenders</x:v>
      </x:c>
      <x:c r="E782" s="2" t="str">
        <x:v>Include</x:v>
      </x:c>
      <x:c r="F782" s="2" t="str">
        <x:v>Yes</x:v>
      </x:c>
      <x:c r="G782" s="15" t="str">
        <x:v>6/6</x:v>
      </x:c>
      <x:c r="H782" s="18" t="n">
        <x:v>2</x:v>
      </x:c>
      <x:c r="I782" s="18" t="n">
        <x:v>3.33</x:v>
      </x:c>
      <x:c r="J782" s="18" t="n">
        <x:v>2.33</x:v>
      </x:c>
      <x:c r="K782" s="18" t="n">
        <x:v>2.67</x:v>
      </x:c>
      <x:c r="L782" s="18" t="n">
        <x:v>4.67</x:v>
      </x:c>
      <x:c r="M782" s="18" t="n">
        <x:v>3.33</x:v>
      </x:c>
      <x:c r="N782" s="12" t="str">
        <x:v>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x:v>
      </x:c>
      <x:c r="O782" s="12" t="str">
        <x:v>https://www.onetonline.org/link/summary/51-9012.00</x:v>
      </x:c>
      <x:c r="P782" s="12" t="str">
        <x:v>SOC51 production occupations.</x:v>
      </x:c>
    </x:row>
    <x:row r="783" ht="37.5" customHeight="1">
      <x:c r="A783" s="15" t="str">
        <x:v>784030</x:v>
      </x:c>
      <x:c r="B783" s="12" t="str">
        <x:v>Production occupations (e.g., assemblers, bakers, metal workers, tailors, woodworkers)</x:v>
      </x:c>
      <x:c r="C783" s="35" t="str">
        <x:v>51-9021.00</x:v>
      </x:c>
      <x:c r="D783" s="12" t="str">
        <x:v>Crushing, Grinding, and Polishing Machine Setters, Operators, and Tenders</x:v>
      </x:c>
      <x:c r="E783" s="2" t="str">
        <x:v>Include</x:v>
      </x:c>
      <x:c r="F783" s="2" t="str">
        <x:v>Yes</x:v>
      </x:c>
      <x:c r="G783" s="15" t="str">
        <x:v>6/6</x:v>
      </x:c>
      <x:c r="H783" s="18" t="n">
        <x:v>2.67</x:v>
      </x:c>
      <x:c r="I783" s="18" t="n">
        <x:v>2.83</x:v>
      </x:c>
      <x:c r="J783" s="18" t="n">
        <x:v>2.67</x:v>
      </x:c>
      <x:c r="K783" s="18" t="n">
        <x:v>4.33</x:v>
      </x:c>
      <x:c r="L783" s="18" t="n">
        <x:v>5</x:v>
      </x:c>
      <x:c r="M783" s="18" t="n">
        <x:v>2.67</x:v>
      </x:c>
      <x:c r="N783" s="12" t="str">
        <x:v>Set up, operate, or tend machines to crush, grind, or polish materials, such as coal, glass, grain, stone, food, or rubber.</x:v>
      </x:c>
      <x:c r="O783" s="12" t="str">
        <x:v>https://www.onetonline.org/link/summary/51-9021.00</x:v>
      </x:c>
      <x:c r="P783" s="12" t="str">
        <x:v>SOC51 production occupations.</x:v>
      </x:c>
    </x:row>
    <x:row r="784" ht="37.5" customHeight="1">
      <x:c r="A784" s="15" t="str">
        <x:v>784030</x:v>
      </x:c>
      <x:c r="B784" s="12" t="str">
        <x:v>Production occupations (e.g., assemblers, bakers, metal workers, tailors, woodworkers)</x:v>
      </x:c>
      <x:c r="C784" s="35" t="str">
        <x:v>51-9022.00</x:v>
      </x:c>
      <x:c r="D784" s="12" t="str">
        <x:v>Grinding and Polishing Workers, Hand</x:v>
      </x:c>
      <x:c r="E784" s="2" t="str">
        <x:v>Include</x:v>
      </x:c>
      <x:c r="F784" s="2" t="str">
        <x:v>Yes</x:v>
      </x:c>
      <x:c r="G784" s="15" t="str">
        <x:v>6/6</x:v>
      </x:c>
      <x:c r="H784" s="18" t="n">
        <x:v>1.67</x:v>
      </x:c>
      <x:c r="I784" s="18" t="n">
        <x:v>2</x:v>
      </x:c>
      <x:c r="J784" s="18" t="n">
        <x:v>1.67</x:v>
      </x:c>
      <x:c r="K784" s="18" t="n">
        <x:v>3.33</x:v>
      </x:c>
      <x:c r="L784" s="18" t="n">
        <x:v>4.33</x:v>
      </x:c>
      <x:c r="M784" s="18" t="n">
        <x:v>2</x:v>
      </x:c>
      <x:c r="N784" s="12" t="str">
        <x:v>Grind, sand, or polish, using hand tools or hand-held power tools, a variety of metal, wood, stone, clay, plastic, or glass objects. Includes chippers, buffers, and finishers.</x:v>
      </x:c>
      <x:c r="O784" s="12" t="str">
        <x:v>https://www.onetonline.org/link/summary/51-9022.00</x:v>
      </x:c>
      <x:c r="P784" s="12" t="str">
        <x:v>SOC51 production occupations.</x:v>
      </x:c>
    </x:row>
    <x:row r="785" ht="37.5" customHeight="1">
      <x:c r="A785" s="15" t="str">
        <x:v>784030</x:v>
      </x:c>
      <x:c r="B785" s="12" t="str">
        <x:v>Production occupations (e.g., assemblers, bakers, metal workers, tailors, woodworkers)</x:v>
      </x:c>
      <x:c r="C785" s="35" t="str">
        <x:v>51-9023.00</x:v>
      </x:c>
      <x:c r="D785" s="12" t="str">
        <x:v>Mixing and Blending Machine Setters, Operators, and Tenders</x:v>
      </x:c>
      <x:c r="E785" s="2" t="str">
        <x:v>Include</x:v>
      </x:c>
      <x:c r="F785" s="2" t="str">
        <x:v>Yes</x:v>
      </x:c>
      <x:c r="G785" s="15" t="str">
        <x:v>6/6</x:v>
      </x:c>
      <x:c r="H785" s="18" t="n">
        <x:v>2</x:v>
      </x:c>
      <x:c r="I785" s="18" t="n">
        <x:v>2.83</x:v>
      </x:c>
      <x:c r="J785" s="18" t="n">
        <x:v>2</x:v>
      </x:c>
      <x:c r="K785" s="18" t="n">
        <x:v>3.33</x:v>
      </x:c>
      <x:c r="L785" s="18" t="n">
        <x:v>5</x:v>
      </x:c>
      <x:c r="M785" s="18" t="n">
        <x:v>3</x:v>
      </x:c>
      <x:c r="N785" s="12" t="str">
        <x:v>Set up, operate, or tend machines to mix or blend materials, such as chemicals, tobacco, liquids, color pigments, or explosive ingredients.</x:v>
      </x:c>
      <x:c r="O785" s="12" t="str">
        <x:v>https://www.onetonline.org/link/summary/51-9023.00</x:v>
      </x:c>
      <x:c r="P785" s="12" t="str">
        <x:v>SOC51 production occupations.</x:v>
      </x:c>
    </x:row>
    <x:row r="786" ht="37.5" customHeight="1">
      <x:c r="A786" s="15" t="str">
        <x:v>784030</x:v>
      </x:c>
      <x:c r="B786" s="12" t="str">
        <x:v>Production occupations (e.g., assemblers, bakers, metal workers, tailors, woodworkers)</x:v>
      </x:c>
      <x:c r="C786" s="35" t="str">
        <x:v>51-9031.00</x:v>
      </x:c>
      <x:c r="D786" s="12" t="str">
        <x:v>Cutters and Trimmers, Hand</x:v>
      </x:c>
      <x:c r="E786" s="2" t="str">
        <x:v>Include</x:v>
      </x:c>
      <x:c r="F786" s="2" t="str">
        <x:v>Yes</x:v>
      </x:c>
      <x:c r="G786" s="15" t="str">
        <x:v>6/6</x:v>
      </x:c>
      <x:c r="H786" s="18" t="n">
        <x:v>2</x:v>
      </x:c>
      <x:c r="I786" s="18" t="n">
        <x:v>2.17</x:v>
      </x:c>
      <x:c r="J786" s="18" t="n">
        <x:v>2</x:v>
      </x:c>
      <x:c r="K786" s="18" t="n">
        <x:v>3.67</x:v>
      </x:c>
      <x:c r="L786" s="18" t="n">
        <x:v>4.67</x:v>
      </x:c>
      <x:c r="M786" s="18" t="n">
        <x:v>2.33</x:v>
      </x:c>
      <x:c r="N786" s="12" t="str">
        <x:v>Use hand tools or hand-held power tools to cut and trim a variety of manufactured items, such as carpet, fabric, stone, glass, or rubber.</x:v>
      </x:c>
      <x:c r="O786" s="12" t="str">
        <x:v>https://www.onetonline.org/link/summary/51-9031.00</x:v>
      </x:c>
      <x:c r="P786" s="12" t="str">
        <x:v>SOC51 production occupations.</x:v>
      </x:c>
    </x:row>
    <x:row r="787" ht="37.5" customHeight="1">
      <x:c r="A787" s="15" t="str">
        <x:v>784030</x:v>
      </x:c>
      <x:c r="B787" s="12" t="str">
        <x:v>Production occupations (e.g., assemblers, bakers, metal workers, tailors, woodworkers)</x:v>
      </x:c>
      <x:c r="C787" s="35" t="str">
        <x:v>51-9032.00</x:v>
      </x:c>
      <x:c r="D787" s="12" t="str">
        <x:v>Cutting and Slicing Machine Setters, Operators, and Tenders</x:v>
      </x:c>
      <x:c r="E787" s="2" t="str">
        <x:v>Include</x:v>
      </x:c>
      <x:c r="F787" s="2" t="str">
        <x:v>Yes</x:v>
      </x:c>
      <x:c r="G787" s="15" t="str">
        <x:v>6/6</x:v>
      </x:c>
      <x:c r="H787" s="18" t="n">
        <x:v>2.33</x:v>
      </x:c>
      <x:c r="I787" s="18" t="n">
        <x:v>2.83</x:v>
      </x:c>
      <x:c r="J787" s="18" t="n">
        <x:v>2.33</x:v>
      </x:c>
      <x:c r="K787" s="18" t="n">
        <x:v>3.67</x:v>
      </x:c>
      <x:c r="L787" s="18" t="n">
        <x:v>5.67</x:v>
      </x:c>
      <x:c r="M787" s="18" t="n">
        <x:v>4</x:v>
      </x:c>
      <x:c r="N787" s="12" t="str">
        <x:v>Set up, operate, or tend machines that cut or slice materials, such as glass, stone, cork, rubber, tobacco, food, paper, or insulating material.</x:v>
      </x:c>
      <x:c r="O787" s="12" t="str">
        <x:v>https://www.onetonline.org/link/summary/51-9032.00</x:v>
      </x:c>
      <x:c r="P787" s="12" t="str">
        <x:v>SOC51 production occupations.</x:v>
      </x:c>
    </x:row>
    <x:row r="788" ht="37.5" customHeight="1">
      <x:c r="A788" s="15" t="str">
        <x:v>784030</x:v>
      </x:c>
      <x:c r="B788" s="12" t="str">
        <x:v>Production occupations (e.g., assemblers, bakers, metal workers, tailors, woodworkers)</x:v>
      </x:c>
      <x:c r="C788" s="35" t="str">
        <x:v>51-9041.00</x:v>
      </x:c>
      <x:c r="D788" s="12" t="str">
        <x:v>Extruding, Forming, Pressing, and Compacting Machine Setters, Operators, and Tenders</x:v>
      </x:c>
      <x:c r="E788" s="2" t="str">
        <x:v>Include</x:v>
      </x:c>
      <x:c r="F788" s="2" t="str">
        <x:v>Yes</x:v>
      </x:c>
      <x:c r="G788" s="15" t="str">
        <x:v>6/6</x:v>
      </x:c>
      <x:c r="H788" s="18" t="n">
        <x:v>2.33</x:v>
      </x:c>
      <x:c r="I788" s="18" t="n">
        <x:v>2.33</x:v>
      </x:c>
      <x:c r="J788" s="18" t="n">
        <x:v>2</x:v>
      </x:c>
      <x:c r="K788" s="18" t="n">
        <x:v>3</x:v>
      </x:c>
      <x:c r="L788" s="18" t="n">
        <x:v>5.67</x:v>
      </x:c>
      <x:c r="M788" s="18" t="n">
        <x:v>3.33</x:v>
      </x:c>
      <x:c r="N788" s="12" t="str">
        <x:v>Set up, operate, or tend machines, such as glass-forming machines, plodder machines, and tuber machines, to shape and form products such as glassware, food, rubber, soap, brick, tile, clay, wax, tobacco, or cosmetics.</x:v>
      </x:c>
      <x:c r="O788" s="12" t="str">
        <x:v>https://www.onetonline.org/link/summary/51-9041.00</x:v>
      </x:c>
      <x:c r="P788" s="12" t="str">
        <x:v>SOC51 production occupations.</x:v>
      </x:c>
    </x:row>
    <x:row r="789" ht="37.5" customHeight="1">
      <x:c r="A789" s="15" t="str">
        <x:v>784030</x:v>
      </x:c>
      <x:c r="B789" s="12" t="str">
        <x:v>Production occupations (e.g., assemblers, bakers, metal workers, tailors, woodworkers)</x:v>
      </x:c>
      <x:c r="C789" s="35" t="str">
        <x:v>51-9051.00</x:v>
      </x:c>
      <x:c r="D789" s="12" t="str">
        <x:v>Furnace, Kiln, Oven, Drier, and Kettle Operators and Tenders</x:v>
      </x:c>
      <x:c r="E789" s="2" t="str">
        <x:v>Include</x:v>
      </x:c>
      <x:c r="F789" s="2" t="str">
        <x:v>Yes</x:v>
      </x:c>
      <x:c r="G789" s="15" t="str">
        <x:v>6/6</x:v>
      </x:c>
      <x:c r="H789" s="18" t="n">
        <x:v>2.33</x:v>
      </x:c>
      <x:c r="I789" s="18" t="n">
        <x:v>3.17</x:v>
      </x:c>
      <x:c r="J789" s="18" t="n">
        <x:v>2.33</x:v>
      </x:c>
      <x:c r="K789" s="18" t="n">
        <x:v>3.67</x:v>
      </x:c>
      <x:c r="L789" s="18" t="n">
        <x:v>6.33</x:v>
      </x:c>
      <x:c r="M789" s="18" t="n">
        <x:v>4</x:v>
      </x:c>
      <x:c r="N789" s="12" t="str">
        <x:v>Operate or tend heating equipment other than basic metal, plastic, or food processing equipment. Includes activities such as annealing glass, drying lumber, curing rubber, removing moisture from materials, or boiling soap.</x:v>
      </x:c>
      <x:c r="O789" s="12" t="str">
        <x:v>https://www.onetonline.org/link/summary/51-9051.00</x:v>
      </x:c>
      <x:c r="P789" s="12" t="str">
        <x:v>SOC51 production occupations.</x:v>
      </x:c>
    </x:row>
    <x:row r="790" ht="37.5" customHeight="1">
      <x:c r="A790" s="15" t="str">
        <x:v>784030</x:v>
      </x:c>
      <x:c r="B790" s="12" t="str">
        <x:v>Production occupations (e.g., assemblers, bakers, metal workers, tailors, woodworkers)</x:v>
      </x:c>
      <x:c r="C790" s="35" t="str">
        <x:v>51-9061.00</x:v>
      </x:c>
      <x:c r="D790" s="12" t="str">
        <x:v>Inspectors, Testers, Sorters, Samplers, and Weighers</x:v>
      </x:c>
      <x:c r="E790" s="2" t="str">
        <x:v>Include</x:v>
      </x:c>
      <x:c r="F790" s="2" t="str">
        <x:v>Yes</x:v>
      </x:c>
      <x:c r="G790" s="15" t="str">
        <x:v>6/6</x:v>
      </x:c>
      <x:c r="H790" s="18" t="n">
        <x:v>2.33</x:v>
      </x:c>
      <x:c r="I790" s="18" t="n">
        <x:v>2.83</x:v>
      </x:c>
      <x:c r="J790" s="18" t="n">
        <x:v>1.67</x:v>
      </x:c>
      <x:c r="K790" s="18" t="n">
        <x:v>3</x:v>
      </x:c>
      <x:c r="L790" s="18" t="n">
        <x:v>4.33</x:v>
      </x:c>
      <x:c r="M790" s="18" t="n">
        <x:v>2.33</x:v>
      </x:c>
      <x:c r="N790" s="12" t="str">
        <x:v>Inspect, test, sort, sample, or weigh nonagricultural raw materials or processed, machined, fabricated, or assembled parts or products for defects, wear, and deviations from specifications. May use precision measuring instruments and complex test equipment.</x:v>
      </x:c>
      <x:c r="O790" s="12" t="str">
        <x:v>https://www.onetonline.org/link/summary/51-9061.00</x:v>
      </x:c>
      <x:c r="P790" s="12" t="str">
        <x:v>SOC51 production occupations.</x:v>
      </x:c>
    </x:row>
    <x:row r="791" ht="37.5" customHeight="1">
      <x:c r="A791" s="15" t="str">
        <x:v>784030</x:v>
      </x:c>
      <x:c r="B791" s="12" t="str">
        <x:v>Production occupations (e.g., assemblers, bakers, metal workers, tailors, woodworkers)</x:v>
      </x:c>
      <x:c r="C791" s="35" t="str">
        <x:v>51-9071.00</x:v>
      </x:c>
      <x:c r="D791" s="12" t="str">
        <x:v>Jewelers and Precious Stone and Metal Workers</x:v>
      </x:c>
      <x:c r="E791" s="2" t="str">
        <x:v>Include</x:v>
      </x:c>
      <x:c r="F791" s="2" t="str">
        <x:v>Yes</x:v>
      </x:c>
      <x:c r="G791" s="15" t="str">
        <x:v>6/6</x:v>
      </x:c>
      <x:c r="H791" s="18" t="n">
        <x:v>3.67</x:v>
      </x:c>
      <x:c r="I791" s="18" t="n">
        <x:v>3.83</x:v>
      </x:c>
      <x:c r="J791" s="18" t="n">
        <x:v>3.17</x:v>
      </x:c>
      <x:c r="K791" s="18" t="n">
        <x:v>3</x:v>
      </x:c>
      <x:c r="L791" s="18" t="n">
        <x:v>3.17</x:v>
      </x:c>
      <x:c r="M791" s="18" t="n">
        <x:v>2.5</x:v>
      </x:c>
      <x:c r="N791" s="12" t="str">
        <x:v>Design, fabricate, adjust, repair, or appraise jewelry, gold, silver, other precious metals, or gems.</x:v>
      </x:c>
      <x:c r="O791" s="12" t="str">
        <x:v>https://www.onetonline.org/link/summary/51-9071.00</x:v>
      </x:c>
      <x:c r="P791" s="12" t="str">
        <x:v>SOC51 production occupations.</x:v>
      </x:c>
    </x:row>
    <x:row r="792" ht="37.5" customHeight="1">
      <x:c r="A792" s="15" t="str">
        <x:v>784030</x:v>
      </x:c>
      <x:c r="B792" s="12" t="str">
        <x:v>Production occupations (e.g., assemblers, bakers, metal workers, tailors, woodworkers)</x:v>
      </x:c>
      <x:c r="C792" s="35" t="str">
        <x:v>51-9081.00</x:v>
      </x:c>
      <x:c r="D792" s="12" t="str">
        <x:v>Dental Laboratory Technicians</x:v>
      </x:c>
      <x:c r="E792" s="2" t="str">
        <x:v>Include</x:v>
      </x:c>
      <x:c r="F792" s="2" t="str">
        <x:v>Yes</x:v>
      </x:c>
      <x:c r="G792" s="15" t="str">
        <x:v>6/6</x:v>
      </x:c>
      <x:c r="H792" s="18" t="n">
        <x:v>3.67</x:v>
      </x:c>
      <x:c r="I792" s="18" t="n">
        <x:v>4.17</x:v>
      </x:c>
      <x:c r="J792" s="18" t="n">
        <x:v>3.33</x:v>
      </x:c>
      <x:c r="K792" s="18" t="n">
        <x:v>3.67</x:v>
      </x:c>
      <x:c r="L792" s="18" t="n">
        <x:v>5.33</x:v>
      </x:c>
      <x:c r="M792" s="18" t="n">
        <x:v>4.33</x:v>
      </x:c>
      <x:c r="N792" s="12" t="str">
        <x:v>Construct and repair full or partial dentures or dental appliances.</x:v>
      </x:c>
      <x:c r="O792" s="12" t="str">
        <x:v>https://www.onetonline.org/link/summary/51-9081.00</x:v>
      </x:c>
      <x:c r="P792" s="12" t="str">
        <x:v>SOC51 production occupations.</x:v>
      </x:c>
    </x:row>
    <x:row r="793" ht="37.5" customHeight="1">
      <x:c r="A793" s="15" t="str">
        <x:v>784030</x:v>
      </x:c>
      <x:c r="B793" s="12" t="str">
        <x:v>Production occupations (e.g., assemblers, bakers, metal workers, tailors, woodworkers)</x:v>
      </x:c>
      <x:c r="C793" s="35" t="str">
        <x:v>51-9082.00</x:v>
      </x:c>
      <x:c r="D793" s="12" t="str">
        <x:v>Medical Appliance Technicians</x:v>
      </x:c>
      <x:c r="E793" s="2" t="str">
        <x:v>Include</x:v>
      </x:c>
      <x:c r="F793" s="2" t="str">
        <x:v>Yes</x:v>
      </x:c>
      <x:c r="G793" s="15" t="str">
        <x:v>6/6</x:v>
      </x:c>
      <x:c r="H793" s="18" t="n">
        <x:v>4.67</x:v>
      </x:c>
      <x:c r="I793" s="18" t="n">
        <x:v>4.83</x:v>
      </x:c>
      <x:c r="J793" s="18" t="n">
        <x:v>3.67</x:v>
      </x:c>
      <x:c r="K793" s="18" t="n">
        <x:v>5.67</x:v>
      </x:c>
      <x:c r="L793" s="18" t="n">
        <x:v>5.33</x:v>
      </x:c>
      <x:c r="M793" s="18" t="n">
        <x:v>4.67</x:v>
      </x:c>
      <x:c r="N793" s="12" t="str">
        <x:v>Construct, maintain, or repair medical supportive devices such as braces, orthotics and prosthetic devices, joints, arch supports, and other surgical and medical appliances.</x:v>
      </x:c>
      <x:c r="O793" s="12" t="str">
        <x:v>https://www.onetonline.org/link/summary/51-9082.00</x:v>
      </x:c>
      <x:c r="P793" s="12" t="str">
        <x:v>SOC51 production occupations.</x:v>
      </x:c>
    </x:row>
    <x:row r="794" ht="37.5" customHeight="1">
      <x:c r="A794" s="15" t="str">
        <x:v>784030</x:v>
      </x:c>
      <x:c r="B794" s="12" t="str">
        <x:v>Production occupations (e.g., assemblers, bakers, metal workers, tailors, woodworkers)</x:v>
      </x:c>
      <x:c r="C794" s="35" t="str">
        <x:v>51-9083.00</x:v>
      </x:c>
      <x:c r="D794" s="12" t="str">
        <x:v>Ophthalmic Laboratory Technicians</x:v>
      </x:c>
      <x:c r="E794" s="2" t="str">
        <x:v>Include</x:v>
      </x:c>
      <x:c r="F794" s="2" t="str">
        <x:v>Yes</x:v>
      </x:c>
      <x:c r="G794" s="15" t="str">
        <x:v>6/6</x:v>
      </x:c>
      <x:c r="H794" s="18" t="n">
        <x:v>3</x:v>
      </x:c>
      <x:c r="I794" s="18" t="n">
        <x:v>3.17</x:v>
      </x:c>
      <x:c r="J794" s="18" t="n">
        <x:v>2.67</x:v>
      </x:c>
      <x:c r="K794" s="18" t="n">
        <x:v>3.33</x:v>
      </x:c>
      <x:c r="L794" s="18" t="n">
        <x:v>4.33</x:v>
      </x:c>
      <x:c r="M794" s="18" t="n">
        <x:v>3.33</x:v>
      </x:c>
      <x:c r="N794" s="12" t="str">
        <x:v>Cut, grind, and polish eyeglasses, contact lenses, or other precision optical elements. Assemble and mount lenses into frames or process other optical elements. Includes precision lens polishers or grinders, centerer-edgers, and lens mounters.</x:v>
      </x:c>
      <x:c r="O794" s="12" t="str">
        <x:v>https://www.onetonline.org/link/summary/51-9083.00</x:v>
      </x:c>
      <x:c r="P794" s="12" t="str">
        <x:v>SOC51 production occupations.</x:v>
      </x:c>
    </x:row>
    <x:row r="795" ht="37.5" customHeight="1">
      <x:c r="A795" s="15" t="str">
        <x:v>784030</x:v>
      </x:c>
      <x:c r="B795" s="12" t="str">
        <x:v>Production occupations (e.g., assemblers, bakers, metal workers, tailors, woodworkers)</x:v>
      </x:c>
      <x:c r="C795" s="35" t="str">
        <x:v>51-9111.00</x:v>
      </x:c>
      <x:c r="D795" s="12" t="str">
        <x:v>Packaging and Filling Machine Operators and Tenders</x:v>
      </x:c>
      <x:c r="E795" s="2" t="str">
        <x:v>Include</x:v>
      </x:c>
      <x:c r="F795" s="2" t="str">
        <x:v>Yes</x:v>
      </x:c>
      <x:c r="G795" s="15" t="str">
        <x:v>6/6</x:v>
      </x:c>
      <x:c r="H795" s="18" t="n">
        <x:v>2</x:v>
      </x:c>
      <x:c r="I795" s="18" t="n">
        <x:v>2</x:v>
      </x:c>
      <x:c r="J795" s="18" t="n">
        <x:v>1.67</x:v>
      </x:c>
      <x:c r="K795" s="18" t="n">
        <x:v>3.67</x:v>
      </x:c>
      <x:c r="L795" s="18" t="n">
        <x:v>5.33</x:v>
      </x:c>
      <x:c r="M795" s="18" t="n">
        <x:v>3.33</x:v>
      </x:c>
      <x:c r="N795" s="12" t="str">
        <x:v>Operate or tend machines to prepare industrial or consumer products for storage or shipment. Includes cannery workers who pack food products.</x:v>
      </x:c>
      <x:c r="O795" s="12" t="str">
        <x:v>https://www.onetonline.org/link/summary/51-9111.00</x:v>
      </x:c>
      <x:c r="P795" s="12" t="str">
        <x:v>SOC51 production occupations.</x:v>
      </x:c>
    </x:row>
    <x:row r="796" ht="37.5" customHeight="1">
      <x:c r="A796" s="15" t="str">
        <x:v>784030</x:v>
      </x:c>
      <x:c r="B796" s="12" t="str">
        <x:v>Production occupations (e.g., assemblers, bakers, metal workers, tailors, woodworkers)</x:v>
      </x:c>
      <x:c r="C796" s="35" t="str">
        <x:v>51-9123.00</x:v>
      </x:c>
      <x:c r="D796" s="12" t="str">
        <x:v>Painting, Coating, and Decorating Workers</x:v>
      </x:c>
      <x:c r="E796" s="2" t="str">
        <x:v>Include</x:v>
      </x:c>
      <x:c r="F796" s="2" t="str">
        <x:v>Yes</x:v>
      </x:c>
      <x:c r="G796" s="15" t="str">
        <x:v>6/6</x:v>
      </x:c>
      <x:c r="H796" s="18" t="n">
        <x:v>2</x:v>
      </x:c>
      <x:c r="I796" s="18" t="n">
        <x:v>2</x:v>
      </x:c>
      <x:c r="J796" s="18" t="n">
        <x:v>2</x:v>
      </x:c>
      <x:c r="K796" s="18" t="n">
        <x:v>1.67</x:v>
      </x:c>
      <x:c r="L796" s="18" t="n">
        <x:v>4</x:v>
      </x:c>
      <x:c r="M796" s="18" t="n">
        <x:v>2</x:v>
      </x:c>
      <x:c r="N796" s="12" t="str">
        <x:v>Paint, coat, or decorate articles, such as furniture, glass, plateware, pottery, jewelry, toys, books, or leather.</x:v>
      </x:c>
      <x:c r="O796" s="12" t="str">
        <x:v>https://www.onetonline.org/link/summary/51-9123.00</x:v>
      </x:c>
      <x:c r="P796" s="12" t="str">
        <x:v>SOC51 production occupations.</x:v>
      </x:c>
    </x:row>
    <x:row r="797" ht="37.5" customHeight="1">
      <x:c r="A797" s="15" t="str">
        <x:v>784030</x:v>
      </x:c>
      <x:c r="B797" s="12" t="str">
        <x:v>Production occupations (e.g., assemblers, bakers, metal workers, tailors, woodworkers)</x:v>
      </x:c>
      <x:c r="C797" s="35" t="str">
        <x:v>51-9124.00</x:v>
      </x:c>
      <x:c r="D797" s="12" t="str">
        <x:v>Coating, Painting, and Spraying Machine Setters, Operators, and Tenders</x:v>
      </x:c>
      <x:c r="E797" s="2" t="str">
        <x:v>Include</x:v>
      </x:c>
      <x:c r="F797" s="2" t="str">
        <x:v>Yes</x:v>
      </x:c>
      <x:c r="G797" s="15" t="str">
        <x:v>6/6</x:v>
      </x:c>
      <x:c r="H797" s="18" t="n">
        <x:v>2.33</x:v>
      </x:c>
      <x:c r="I797" s="18" t="n">
        <x:v>2.17</x:v>
      </x:c>
      <x:c r="J797" s="18" t="n">
        <x:v>2.33</x:v>
      </x:c>
      <x:c r="K797" s="18" t="n">
        <x:v>3</x:v>
      </x:c>
      <x:c r="L797" s="18" t="n">
        <x:v>5</x:v>
      </x:c>
      <x:c r="M797" s="18" t="n">
        <x:v>2.67</x:v>
      </x:c>
      <x:c r="N797" s="12" t="str">
        <x:v>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x:v>
      </x:c>
      <x:c r="O797" s="12" t="str">
        <x:v>https://www.onetonline.org/link/summary/51-9124.00</x:v>
      </x:c>
      <x:c r="P797" s="12" t="str">
        <x:v>SOC51 production occupations.</x:v>
      </x:c>
    </x:row>
    <x:row r="798" ht="37.5" customHeight="1">
      <x:c r="A798" s="15" t="str">
        <x:v>784030</x:v>
      </x:c>
      <x:c r="B798" s="12" t="str">
        <x:v>Production occupations (e.g., assemblers, bakers, metal workers, tailors, woodworkers)</x:v>
      </x:c>
      <x:c r="C798" s="35" t="str">
        <x:v>51-9141.00</x:v>
      </x:c>
      <x:c r="D798" s="12" t="str">
        <x:v>Semiconductor Processing Technicians</x:v>
      </x:c>
      <x:c r="E798" s="2" t="str">
        <x:v>Include</x:v>
      </x:c>
      <x:c r="F798" s="2" t="str">
        <x:v>Yes</x:v>
      </x:c>
      <x:c r="G798" s="15" t="str">
        <x:v>6/6</x:v>
      </x:c>
      <x:c r="H798" s="18" t="n">
        <x:v>2</x:v>
      </x:c>
      <x:c r="I798" s="18" t="n">
        <x:v>2.83</x:v>
      </x:c>
      <x:c r="J798" s="18" t="n">
        <x:v>2.33</x:v>
      </x:c>
      <x:c r="K798" s="18" t="n">
        <x:v>4.33</x:v>
      </x:c>
      <x:c r="L798" s="18" t="n">
        <x:v>5.33</x:v>
      </x:c>
      <x:c r="M798" s="18" t="n">
        <x:v>2.67</x:v>
      </x:c>
      <x:c r="N798" s="12" t="str">
        <x:v>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x:v>
      </x:c>
      <x:c r="O798" s="12" t="str">
        <x:v>https://www.onetonline.org/link/summary/51-9141.00</x:v>
      </x:c>
      <x:c r="P798" s="12" t="str">
        <x:v>SOC51 production occupations.</x:v>
      </x:c>
    </x:row>
    <x:row r="799" ht="37.5" customHeight="1">
      <x:c r="A799" s="15" t="str">
        <x:v>784030</x:v>
      </x:c>
      <x:c r="B799" s="12" t="str">
        <x:v>Production occupations (e.g., assemblers, bakers, metal workers, tailors, woodworkers)</x:v>
      </x:c>
      <x:c r="C799" s="35" t="str">
        <x:v>51-9151.00</x:v>
      </x:c>
      <x:c r="D799" s="12" t="str">
        <x:v>Photographic Process Workers and Processing Machine Operators</x:v>
      </x:c>
      <x:c r="E799" s="2" t="str">
        <x:v>Include</x:v>
      </x:c>
      <x:c r="F799" s="2" t="str">
        <x:v>Yes</x:v>
      </x:c>
      <x:c r="G799" s="15" t="str">
        <x:v>6/6</x:v>
      </x:c>
      <x:c r="H799" s="18" t="n">
        <x:v>3</x:v>
      </x:c>
      <x:c r="I799" s="18" t="n">
        <x:v>3</x:v>
      </x:c>
      <x:c r="J799" s="18" t="n">
        <x:v>2.33</x:v>
      </x:c>
      <x:c r="K799" s="18" t="n">
        <x:v>3.33</x:v>
      </x:c>
      <x:c r="L799" s="18" t="n">
        <x:v>3.67</x:v>
      </x:c>
      <x:c r="M799" s="18" t="n">
        <x:v>3.67</x:v>
      </x:c>
      <x:c r="N799" s="12" t="str">
        <x:v>Perform work involved in developing and processing photographic images from film or digital media. May perform precision tasks such as editing photographic negatives and prints.</x:v>
      </x:c>
      <x:c r="O799" s="12" t="str">
        <x:v>https://www.onetonline.org/link/summary/51-9151.00</x:v>
      </x:c>
      <x:c r="P799" s="12" t="str">
        <x:v>SOC51 production occupations.</x:v>
      </x:c>
    </x:row>
    <x:row r="800" ht="37.5" customHeight="1">
      <x:c r="A800" s="15" t="str">
        <x:v>784030</x:v>
      </x:c>
      <x:c r="B800" s="12" t="str">
        <x:v>Production occupations (e.g., assemblers, bakers, metal workers, tailors, woodworkers)</x:v>
      </x:c>
      <x:c r="C800" s="35" t="str">
        <x:v>51-9161.00</x:v>
      </x:c>
      <x:c r="D800" s="12" t="str">
        <x:v>Computer Numerically Controlled Tool Operators</x:v>
      </x:c>
      <x:c r="E800" s="2" t="str">
        <x:v>Include</x:v>
      </x:c>
      <x:c r="F800" s="2" t="str">
        <x:v>Yes</x:v>
      </x:c>
      <x:c r="G800" s="15" t="str">
        <x:v>6/6</x:v>
      </x:c>
      <x:c r="H800" s="18" t="n">
        <x:v>2.33</x:v>
      </x:c>
      <x:c r="I800" s="18" t="n">
        <x:v>3</x:v>
      </x:c>
      <x:c r="J800" s="18" t="n">
        <x:v>2.33</x:v>
      </x:c>
      <x:c r="K800" s="18" t="n">
        <x:v>3</x:v>
      </x:c>
      <x:c r="L800" s="18" t="n">
        <x:v>5</x:v>
      </x:c>
      <x:c r="M800" s="18" t="n">
        <x:v>3.33</x:v>
      </x:c>
      <x:c r="N800" s="12" t="str">
        <x:v>Operate computer-controlled tools, machines, or robots to machine or process parts, tools, or other work pieces made of metal, plastic, wood, stone, or other materials. May also set up and maintain equipment.</x:v>
      </x:c>
      <x:c r="O800" s="12" t="str">
        <x:v>https://www.onetonline.org/link/summary/51-9161.00</x:v>
      </x:c>
      <x:c r="P800" s="12" t="str">
        <x:v>SOC51 production occupations.</x:v>
      </x:c>
    </x:row>
    <x:row r="801" ht="37.5" customHeight="1">
      <x:c r="A801" s="15" t="str">
        <x:v>784030</x:v>
      </x:c>
      <x:c r="B801" s="12" t="str">
        <x:v>Production occupations (e.g., assemblers, bakers, metal workers, tailors, woodworkers)</x:v>
      </x:c>
      <x:c r="C801" s="35" t="str">
        <x:v>51-9162.00</x:v>
      </x:c>
      <x:c r="D801" s="12" t="str">
        <x:v>Computer Numerically Controlled Tool Programmers</x:v>
      </x:c>
      <x:c r="E801" s="2" t="str">
        <x:v>Include</x:v>
      </x:c>
      <x:c r="F801" s="2" t="str">
        <x:v>Yes</x:v>
      </x:c>
      <x:c r="G801" s="15" t="str">
        <x:v>6/6</x:v>
      </x:c>
      <x:c r="H801" s="18" t="n">
        <x:v>4</x:v>
      </x:c>
      <x:c r="I801" s="18" t="n">
        <x:v>3.83</x:v>
      </x:c>
      <x:c r="J801" s="18" t="n">
        <x:v>3.67</x:v>
      </x:c>
      <x:c r="K801" s="18" t="n">
        <x:v>4.67</x:v>
      </x:c>
      <x:c r="L801" s="18" t="n">
        <x:v>5</x:v>
      </x:c>
      <x:c r="M801" s="18" t="n">
        <x:v>4.67</x:v>
      </x:c>
      <x:c r="N801" s="12" t="str">
        <x:v>Develop programs to control machining or processing of materials by automatic machine tools, equipment, or systems. May also set up, operate, or maintain equipment.</x:v>
      </x:c>
      <x:c r="O801" s="12" t="str">
        <x:v>https://www.onetonline.org/link/summary/51-9162.00</x:v>
      </x:c>
      <x:c r="P801" s="12" t="str">
        <x:v>SOC51 production occupations.</x:v>
      </x:c>
    </x:row>
    <x:row r="802" ht="37.5" customHeight="1">
      <x:c r="A802" s="15" t="str">
        <x:v>784030</x:v>
      </x:c>
      <x:c r="B802" s="12" t="str">
        <x:v>Production occupations (e.g., assemblers, bakers, metal workers, tailors, woodworkers)</x:v>
      </x:c>
      <x:c r="C802" s="35" t="str">
        <x:v>51-9191.00</x:v>
      </x:c>
      <x:c r="D802" s="12" t="str">
        <x:v>Adhesive Bonding Machine Operators and Tenders</x:v>
      </x:c>
      <x:c r="E802" s="2" t="str">
        <x:v>Include</x:v>
      </x:c>
      <x:c r="F802" s="2" t="str">
        <x:v>Yes</x:v>
      </x:c>
      <x:c r="G802" s="15" t="str">
        <x:v>6/6</x:v>
      </x:c>
      <x:c r="H802" s="18" t="n">
        <x:v>2.67</x:v>
      </x:c>
      <x:c r="I802" s="18" t="n">
        <x:v>2.17</x:v>
      </x:c>
      <x:c r="J802" s="18" t="n">
        <x:v>2</x:v>
      </x:c>
      <x:c r="K802" s="18" t="n">
        <x:v>4.33</x:v>
      </x:c>
      <x:c r="L802" s="18" t="n">
        <x:v>5</x:v>
      </x:c>
      <x:c r="M802" s="18" t="n">
        <x:v>2.67</x:v>
      </x:c>
      <x:c r="N802" s="12" t="str">
        <x:v>Operate or tend bonding machines that use adhesives to join items for further processing or to form a completed product. Processes include joining veneer sheets into plywood; gluing paper; or joining rubber and rubberized fabric parts, plastic, simulated leather, or other materials.</x:v>
      </x:c>
      <x:c r="O802" s="12" t="str">
        <x:v>https://www.onetonline.org/link/summary/51-9191.00</x:v>
      </x:c>
      <x:c r="P802" s="12" t="str">
        <x:v>SOC51 production occupations.</x:v>
      </x:c>
    </x:row>
    <x:row r="803" ht="37.5" customHeight="1">
      <x:c r="A803" s="15" t="str">
        <x:v>784030</x:v>
      </x:c>
      <x:c r="B803" s="12" t="str">
        <x:v>Production occupations (e.g., assemblers, bakers, metal workers, tailors, woodworkers)</x:v>
      </x:c>
      <x:c r="C803" s="35" t="str">
        <x:v>51-9192.00</x:v>
      </x:c>
      <x:c r="D803" s="12" t="str">
        <x:v>Cleaning, Washing, and Metal Pickling Equipment Operators and Tenders</x:v>
      </x:c>
      <x:c r="E803" s="2" t="str">
        <x:v>Include</x:v>
      </x:c>
      <x:c r="F803" s="2" t="str">
        <x:v>Yes</x:v>
      </x:c>
      <x:c r="G803" s="15" t="str">
        <x:v>6/6</x:v>
      </x:c>
      <x:c r="H803" s="18" t="n">
        <x:v>2.33</x:v>
      </x:c>
      <x:c r="I803" s="18" t="n">
        <x:v>2.5</x:v>
      </x:c>
      <x:c r="J803" s="18" t="n">
        <x:v>1.67</x:v>
      </x:c>
      <x:c r="K803" s="18" t="n">
        <x:v>4.67</x:v>
      </x:c>
      <x:c r="L803" s="18" t="n">
        <x:v>4</x:v>
      </x:c>
      <x:c r="M803" s="18" t="n">
        <x:v>2.67</x:v>
      </x:c>
      <x:c r="N803" s="12" t="str">
        <x:v>Operate or tend machines to wash or clean products, such as barrels or kegs, glass items, tin plate, food, pulp, coal, plastic, or rubber, to remove impurities.</x:v>
      </x:c>
      <x:c r="O803" s="12" t="str">
        <x:v>https://www.onetonline.org/link/summary/51-9192.00</x:v>
      </x:c>
      <x:c r="P803" s="12" t="str">
        <x:v>SOC51 production occupations.</x:v>
      </x:c>
    </x:row>
    <x:row r="804" ht="37.5" customHeight="1">
      <x:c r="A804" s="15" t="str">
        <x:v>784030</x:v>
      </x:c>
      <x:c r="B804" s="12" t="str">
        <x:v>Production occupations (e.g., assemblers, bakers, metal workers, tailors, woodworkers)</x:v>
      </x:c>
      <x:c r="C804" s="35" t="str">
        <x:v>51-9193.00</x:v>
      </x:c>
      <x:c r="D804" s="12" t="str">
        <x:v>Cooling and Freezing Equipment Operators and Tenders</x:v>
      </x:c>
      <x:c r="E804" s="2" t="str">
        <x:v>Include</x:v>
      </x:c>
      <x:c r="F804" s="2" t="str">
        <x:v>Yes</x:v>
      </x:c>
      <x:c r="G804" s="15" t="str">
        <x:v>6/6</x:v>
      </x:c>
      <x:c r="H804" s="18" t="n">
        <x:v>2.67</x:v>
      </x:c>
      <x:c r="I804" s="18" t="n">
        <x:v>3.17</x:v>
      </x:c>
      <x:c r="J804" s="18" t="n">
        <x:v>1.67</x:v>
      </x:c>
      <x:c r="K804" s="18" t="n">
        <x:v>3.33</x:v>
      </x:c>
      <x:c r="L804" s="18" t="n">
        <x:v>5.67</x:v>
      </x:c>
      <x:c r="M804" s="18" t="n">
        <x:v>4</x:v>
      </x:c>
      <x:c r="N804" s="12" t="str">
        <x:v>Operate or tend equipment such as cooling and freezing units, refrigerators, batch freezers, and freezing tunnels, to cool or freeze products, food, blood plasma, and chemicals.</x:v>
      </x:c>
      <x:c r="O804" s="12" t="str">
        <x:v>https://www.onetonline.org/link/summary/51-9193.00</x:v>
      </x:c>
      <x:c r="P804" s="12" t="str">
        <x:v>SOC51 production occupations.</x:v>
      </x:c>
    </x:row>
    <x:row r="805" ht="37.5" customHeight="1">
      <x:c r="A805" s="15" t="str">
        <x:v>784030</x:v>
      </x:c>
      <x:c r="B805" s="12" t="str">
        <x:v>Production occupations (e.g., assemblers, bakers, metal workers, tailors, woodworkers)</x:v>
      </x:c>
      <x:c r="C805" s="35" t="str">
        <x:v>51-9194.00</x:v>
      </x:c>
      <x:c r="D805" s="12" t="str">
        <x:v>Etchers and Engravers</x:v>
      </x:c>
      <x:c r="E805" s="2" t="str">
        <x:v>Include</x:v>
      </x:c>
      <x:c r="F805" s="2" t="str">
        <x:v>Yes</x:v>
      </x:c>
      <x:c r="G805" s="15" t="str">
        <x:v>6/6</x:v>
      </x:c>
      <x:c r="H805" s="18" t="n">
        <x:v>2.67</x:v>
      </x:c>
      <x:c r="I805" s="18" t="n">
        <x:v>2.83</x:v>
      </x:c>
      <x:c r="J805" s="18" t="n">
        <x:v>2.67</x:v>
      </x:c>
      <x:c r="K805" s="18" t="n">
        <x:v>4</x:v>
      </x:c>
      <x:c r="L805" s="18" t="n">
        <x:v>4.33</x:v>
      </x:c>
      <x:c r="M805" s="18" t="n">
        <x:v>4</x:v>
      </x:c>
      <x:c r="N805" s="12" t="str">
        <x:v>Engrave or etch metal, wood, rubber, or other materials. Includes such workers as etcher-circuit processors, pantograph engravers, and silk screen etchers.</x:v>
      </x:c>
      <x:c r="O805" s="12" t="str">
        <x:v>https://www.onetonline.org/link/summary/51-9194.00</x:v>
      </x:c>
      <x:c r="P805" s="12" t="str">
        <x:v>SOC51 production occupations.</x:v>
      </x:c>
    </x:row>
    <x:row r="806" ht="37.5" customHeight="1">
      <x:c r="A806" s="15" t="str">
        <x:v>784030</x:v>
      </x:c>
      <x:c r="B806" s="12" t="str">
        <x:v>Production occupations (e.g., assemblers, bakers, metal workers, tailors, woodworkers)</x:v>
      </x:c>
      <x:c r="C806" s="35" t="str">
        <x:v>51-9195.00</x:v>
      </x:c>
      <x:c r="D806" s="12" t="str">
        <x:v>Molders, Shapers, and Casters, Except Metal and Plastic</x:v>
      </x:c>
      <x:c r="E806" s="2" t="str">
        <x:v>Include</x:v>
      </x:c>
      <x:c r="F806" s="2" t="str">
        <x:v>Yes</x:v>
      </x:c>
      <x:c r="G806" s="15" t="str">
        <x:v>6/6</x:v>
      </x:c>
      <x:c r="H806" s="18" t="n">
        <x:v>2</x:v>
      </x:c>
      <x:c r="I806" s="18" t="n">
        <x:v>2.33</x:v>
      </x:c>
      <x:c r="J806" s="18" t="n">
        <x:v>2</x:v>
      </x:c>
      <x:c r="K806" s="18" t="n">
        <x:v>4.33</x:v>
      </x:c>
      <x:c r="L806" s="18" t="n">
        <x:v>4.33</x:v>
      </x:c>
      <x:c r="M806" s="18" t="n">
        <x:v>2.67</x:v>
      </x:c>
      <x:c r="N806" s="12" t="str">
        <x:v>Mold, shape, form, cast, or carve products such as food products, figurines, tile, pipes, and candles consisting of clay, glass, plaster, concrete, stone, or combinations of materials.</x:v>
      </x:c>
      <x:c r="O806" s="12" t="str">
        <x:v>https://www.onetonline.org/link/summary/51-9195.00</x:v>
      </x:c>
      <x:c r="P806" s="12" t="str">
        <x:v>SOC51 production occupations.</x:v>
      </x:c>
    </x:row>
    <x:row r="807" ht="37.5" customHeight="1">
      <x:c r="A807" s="15" t="str">
        <x:v>784030</x:v>
      </x:c>
      <x:c r="B807" s="12" t="str">
        <x:v>Production occupations (e.g., assemblers, bakers, metal workers, tailors, woodworkers)</x:v>
      </x:c>
      <x:c r="C807" s="35" t="str">
        <x:v>51-9196.00</x:v>
      </x:c>
      <x:c r="D807" s="12" t="str">
        <x:v>Paper Goods Machine Setters, Operators, and Tenders</x:v>
      </x:c>
      <x:c r="E807" s="2" t="str">
        <x:v>Include</x:v>
      </x:c>
      <x:c r="F807" s="2" t="str">
        <x:v>Yes</x:v>
      </x:c>
      <x:c r="G807" s="15" t="str">
        <x:v>6/6</x:v>
      </x:c>
      <x:c r="H807" s="18" t="n">
        <x:v>2</x:v>
      </x:c>
      <x:c r="I807" s="18" t="n">
        <x:v>2.5</x:v>
      </x:c>
      <x:c r="J807" s="18" t="n">
        <x:v>2</x:v>
      </x:c>
      <x:c r="K807" s="18" t="n">
        <x:v>4</x:v>
      </x:c>
      <x:c r="L807" s="18" t="n">
        <x:v>5</x:v>
      </x:c>
      <x:c r="M807" s="18" t="n">
        <x:v>2.67</x:v>
      </x:c>
      <x:c r="N807" s="12" t="str">
        <x:v>Set up, operate, or tend paper goods machines that perform a variety of functions, such as converting, sawing, corrugating, banding, wrapping, boxing, stitching, forming, or sealing paper or paperboard sheets into products.</x:v>
      </x:c>
      <x:c r="O807" s="12" t="str">
        <x:v>https://www.onetonline.org/link/summary/51-9196.00</x:v>
      </x:c>
      <x:c r="P807" s="12" t="str">
        <x:v>SOC51 production occupations.</x:v>
      </x:c>
    </x:row>
    <x:row r="808" ht="37.5" customHeight="1">
      <x:c r="A808" s="15" t="str">
        <x:v>784030</x:v>
      </x:c>
      <x:c r="B808" s="12" t="str">
        <x:v>Production occupations (e.g., assemblers, bakers, metal workers, tailors, woodworkers)</x:v>
      </x:c>
      <x:c r="C808" s="35" t="str">
        <x:v>51-9197.00</x:v>
      </x:c>
      <x:c r="D808" s="12" t="str">
        <x:v>Tire Builders</x:v>
      </x:c>
      <x:c r="E808" s="2" t="str">
        <x:v>Include</x:v>
      </x:c>
      <x:c r="F808" s="2" t="str">
        <x:v>Yes</x:v>
      </x:c>
      <x:c r="G808" s="15" t="str">
        <x:v>6/6</x:v>
      </x:c>
      <x:c r="H808" s="18" t="n">
        <x:v>2.33</x:v>
      </x:c>
      <x:c r="I808" s="18" t="n">
        <x:v>3.17</x:v>
      </x:c>
      <x:c r="J808" s="18" t="n">
        <x:v>2.33</x:v>
      </x:c>
      <x:c r="K808" s="18" t="n">
        <x:v>4</x:v>
      </x:c>
      <x:c r="L808" s="18" t="n">
        <x:v>4.67</x:v>
      </x:c>
      <x:c r="M808" s="18" t="n">
        <x:v>3.33</x:v>
      </x:c>
      <x:c r="N808" s="12" t="str">
        <x:v>Operate machines to build tires.</x:v>
      </x:c>
      <x:c r="O808" s="12" t="str">
        <x:v>https://www.onetonline.org/link/summary/51-9197.00</x:v>
      </x:c>
      <x:c r="P808" s="12" t="str">
        <x:v>SOC51 production occupations.</x:v>
      </x:c>
    </x:row>
    <x:row r="809" ht="37.5" customHeight="1">
      <x:c r="A809" s="15" t="str">
        <x:v>784030</x:v>
      </x:c>
      <x:c r="B809" s="12" t="str">
        <x:v>Production occupations (e.g., assemblers, bakers, metal workers, tailors, woodworkers)</x:v>
      </x:c>
      <x:c r="C809" s="35" t="str">
        <x:v>51-9198.00</x:v>
      </x:c>
      <x:c r="D809" s="12" t="str">
        <x:v>Helpers--Production Workers</x:v>
      </x:c>
      <x:c r="E809" s="2" t="str">
        <x:v>Include</x:v>
      </x:c>
      <x:c r="F809" s="2" t="str">
        <x:v>Yes</x:v>
      </x:c>
      <x:c r="G809" s="15" t="str">
        <x:v>6/6</x:v>
      </x:c>
      <x:c r="H809" s="18" t="n">
        <x:v>1.33</x:v>
      </x:c>
      <x:c r="I809" s="18" t="n">
        <x:v>2.17</x:v>
      </x:c>
      <x:c r="J809" s="18" t="n">
        <x:v>1.33</x:v>
      </x:c>
      <x:c r="K809" s="18" t="n">
        <x:v>2.67</x:v>
      </x:c>
      <x:c r="L809" s="18" t="n">
        <x:v>5</x:v>
      </x:c>
      <x:c r="M809" s="18" t="n">
        <x:v>2</x:v>
      </x:c>
      <x:c r="N809" s="12" t="str">
        <x:v>Help production workers by performing duties requiring less skill. Duties include supplying or holding materials or tools, and cleaning work area and equipment.</x:v>
      </x:c>
      <x:c r="O809" s="12" t="str">
        <x:v>https://www.onetonline.org/link/summary/51-9198.00</x:v>
      </x:c>
      <x:c r="P809" s="12" t="str">
        <x:v>SOC51 production occupations.</x:v>
      </x:c>
    </x:row>
    <x:row r="810" ht="37.5" customHeight="1">
      <x:c r="A810" s="15" t="str">
        <x:v>784030</x:v>
      </x:c>
      <x:c r="B810" s="12" t="str">
        <x:v>Production occupations (e.g., assemblers, bakers, metal workers, tailors, woodworkers)</x:v>
      </x:c>
      <x:c r="C810" s="35" t="str">
        <x:v>51-9199.00</x:v>
      </x:c>
      <x:c r="D810" s="12" t="str">
        <x:v>Production Workers, All Other</x:v>
      </x:c>
      <x:c r="E810" s="2" t="str">
        <x:v>Exclude (no Work Values)</x:v>
      </x:c>
      <x:c r="F810" s="2" t="str">
        <x:v>Yes</x:v>
      </x:c>
      <x:c r="G810" s="15" t="str">
        <x:v>0/6</x:v>
      </x:c>
      <x:c r="H810" s="18"/>
      <x:c r="I810" s="18"/>
      <x:c r="J810" s="18"/>
      <x:c r="K810" s="18"/>
      <x:c r="L810" s="18"/>
      <x:c r="M810" s="18"/>
      <x:c r="N810" s="12" t="str">
        <x:v>All production workers not listed separately.</x:v>
      </x:c>
      <x:c r="O810" s="12" t="str">
        <x:v>https://www.onetonline.org/link/summary/51-9199.00</x:v>
      </x:c>
      <x:c r="P810" s="12" t="str">
        <x:v>SOC51 production occupations.</x:v>
      </x:c>
    </x:row>
    <x:row r="811" ht="37.5" customHeight="1">
      <x:c r="A811" s="15" t="str">
        <x:v>784050</x:v>
      </x:c>
      <x:c r="B811" s="12" t="str">
        <x:v>Transportation and material moving occupations</x:v>
      </x:c>
      <x:c r="C811" s="35" t="str">
        <x:v>53-1041.00</x:v>
      </x:c>
      <x:c r="D811" s="12" t="str">
        <x:v>Aircraft Cargo Handling Supervisors</x:v>
      </x:c>
      <x:c r="E811" s="2" t="str">
        <x:v>Include</x:v>
      </x:c>
      <x:c r="F811" s="2" t="str">
        <x:v>Yes</x:v>
      </x:c>
      <x:c r="G811" s="15" t="str">
        <x:v>6/6</x:v>
      </x:c>
      <x:c r="H811" s="18" t="n">
        <x:v>3.67</x:v>
      </x:c>
      <x:c r="I811" s="18" t="n">
        <x:v>3.83</x:v>
      </x:c>
      <x:c r="J811" s="18" t="n">
        <x:v>3.67</x:v>
      </x:c>
      <x:c r="K811" s="18" t="n">
        <x:v>4.33</x:v>
      </x:c>
      <x:c r="L811" s="18" t="n">
        <x:v>5.33</x:v>
      </x:c>
      <x:c r="M811" s="18" t="n">
        <x:v>5.33</x:v>
      </x:c>
      <x:c r="N811" s="12" t="str">
        <x:v>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x:v>
      </x:c>
      <x:c r="O811" s="12" t="str">
        <x:v>https://www.onetonline.org/link/summary/53-1041.00</x:v>
      </x:c>
      <x:c r="P811" s="12" t="str">
        <x:v>SOC53 transportation and material-moving occupations.</x:v>
      </x:c>
    </x:row>
    <x:row r="812" ht="37.5" customHeight="1">
      <x:c r="A812" s="15" t="str">
        <x:v>784050</x:v>
      </x:c>
      <x:c r="B812" s="12" t="str">
        <x:v>Transportation and material moving occupations</x:v>
      </x:c>
      <x:c r="C812" s="35" t="str">
        <x:v>53-1042.00</x:v>
      </x:c>
      <x:c r="D812" s="12" t="str">
        <x:v>First-Line Supervisors of Helpers, Laborers, and Material Movers, Hand</x:v>
      </x:c>
      <x:c r="E812" s="2" t="str">
        <x:v>Include</x:v>
      </x:c>
      <x:c r="F812" s="2" t="str">
        <x:v>Yes</x:v>
      </x:c>
      <x:c r="G812" s="15" t="str">
        <x:v>6/6</x:v>
      </x:c>
      <x:c r="H812" s="18" t="n">
        <x:v>4.33</x:v>
      </x:c>
      <x:c r="I812" s="18" t="n">
        <x:v>4</x:v>
      </x:c>
      <x:c r="J812" s="18" t="n">
        <x:v>4</x:v>
      </x:c>
      <x:c r="K812" s="18" t="n">
        <x:v>5</x:v>
      </x:c>
      <x:c r="L812" s="18" t="n">
        <x:v>5.33</x:v>
      </x:c>
      <x:c r="M812" s="18" t="n">
        <x:v>5.33</x:v>
      </x:c>
      <x:c r="N812" s="12" t="str">
        <x:v>Directly supervise and coordinate the activities of helpers, laborers, or material movers, hand.</x:v>
      </x:c>
      <x:c r="O812" s="12" t="str">
        <x:v>https://www.onetonline.org/link/summary/53-1042.00</x:v>
      </x:c>
      <x:c r="P812" s="12" t="str">
        <x:v>SOC53 transportation and material-moving occupations.</x:v>
      </x:c>
    </x:row>
    <x:row r="813" ht="37.5" customHeight="1">
      <x:c r="A813" s="15" t="str">
        <x:v>784050</x:v>
      </x:c>
      <x:c r="B813" s="12" t="str">
        <x:v>Transportation and material moving occupations</x:v>
      </x:c>
      <x:c r="C813" s="35" t="str">
        <x:v>53-1043.00</x:v>
      </x:c>
      <x:c r="D813" s="12" t="str">
        <x:v>First-Line Supervisors of Material-Moving Machine and Vehicle Operators</x:v>
      </x:c>
      <x:c r="E813" s="2" t="str">
        <x:v>Include</x:v>
      </x:c>
      <x:c r="F813" s="2" t="str">
        <x:v>Yes</x:v>
      </x:c>
      <x:c r="G813" s="15" t="str">
        <x:v>6/6</x:v>
      </x:c>
      <x:c r="H813" s="18" t="n">
        <x:v>4.33</x:v>
      </x:c>
      <x:c r="I813" s="18" t="n">
        <x:v>4.5</x:v>
      </x:c>
      <x:c r="J813" s="18" t="n">
        <x:v>4</x:v>
      </x:c>
      <x:c r="K813" s="18" t="n">
        <x:v>5.33</x:v>
      </x:c>
      <x:c r="L813" s="18" t="n">
        <x:v>6</x:v>
      </x:c>
      <x:c r="M813" s="18" t="n">
        <x:v>5.67</x:v>
      </x:c>
      <x:c r="N813" s="12" t="str">
        <x:v>Directly supervise and coordinate activities of material-moving machine and vehicle operators and helpers.</x:v>
      </x:c>
      <x:c r="O813" s="12" t="str">
        <x:v>https://www.onetonline.org/link/summary/53-1043.00</x:v>
      </x:c>
      <x:c r="P813" s="12" t="str">
        <x:v>SOC53 transportation and material-moving occupations.</x:v>
      </x:c>
    </x:row>
    <x:row r="814" ht="37.5" customHeight="1">
      <x:c r="A814" s="15" t="str">
        <x:v>784050</x:v>
      </x:c>
      <x:c r="B814" s="12" t="str">
        <x:v>Transportation and material moving occupations</x:v>
      </x:c>
      <x:c r="C814" s="35" t="str">
        <x:v>53-1044.00</x:v>
      </x:c>
      <x:c r="D814" s="12" t="str">
        <x:v>First-Line Supervisors of Passenger Attendants</x:v>
      </x:c>
      <x:c r="E814" s="2" t="str">
        <x:v>Exclude (no Work Values)</x:v>
      </x:c>
      <x:c r="F814" s="2" t="str">
        <x:v>Yes</x:v>
      </x:c>
      <x:c r="G814" s="15" t="str">
        <x:v>0/6</x:v>
      </x:c>
      <x:c r="H814" s="18"/>
      <x:c r="I814" s="18"/>
      <x:c r="J814" s="18"/>
      <x:c r="K814" s="18"/>
      <x:c r="L814" s="18"/>
      <x:c r="M814" s="18"/>
      <x:c r="N814" s="12" t="str">
        <x:v>Supervise and coordinate activities of passenger attendants.</x:v>
      </x:c>
      <x:c r="O814" s="12" t="str">
        <x:v>https://www.onetonline.org/link/summary/53-1044.00</x:v>
      </x:c>
      <x:c r="P814" s="12" t="str">
        <x:v>SOC53 transportation and material-moving occupations.</x:v>
      </x:c>
    </x:row>
    <x:row r="815" ht="37.5" customHeight="1">
      <x:c r="A815" s="15" t="str">
        <x:v>784050</x:v>
      </x:c>
      <x:c r="B815" s="12" t="str">
        <x:v>Transportation and material moving occupations</x:v>
      </x:c>
      <x:c r="C815" s="35" t="str">
        <x:v>53-1049.00</x:v>
      </x:c>
      <x:c r="D815" s="12" t="str">
        <x:v>First-Line Supervisors of Transportation Workers, All Other</x:v>
      </x:c>
      <x:c r="E815" s="2" t="str">
        <x:v>Exclude (no Work Values)</x:v>
      </x:c>
      <x:c r="F815" s="2" t="str">
        <x:v>Yes</x:v>
      </x:c>
      <x:c r="G815" s="15" t="str">
        <x:v>0/6</x:v>
      </x:c>
      <x:c r="H815" s="18"/>
      <x:c r="I815" s="18"/>
      <x:c r="J815" s="18"/>
      <x:c r="K815" s="18"/>
      <x:c r="L815" s="18"/>
      <x:c r="M815" s="18"/>
      <x:c r="N815" s="12" t="str">
        <x:v>All first-line supervisors of transportation workers not listed separately.</x:v>
      </x:c>
      <x:c r="O815" s="12" t="str">
        <x:v>https://www.onetonline.org/link/summary/53-1049.00</x:v>
      </x:c>
      <x:c r="P815" s="12" t="str">
        <x:v>SOC53 transportation and material-moving occupations.</x:v>
      </x:c>
    </x:row>
    <x:row r="816" ht="37.5" customHeight="1">
      <x:c r="A816" s="15" t="str">
        <x:v>784050</x:v>
      </x:c>
      <x:c r="B816" s="12" t="str">
        <x:v>Transportation and material moving occupations</x:v>
      </x:c>
      <x:c r="C816" s="35" t="str">
        <x:v>53-2011.00</x:v>
      </x:c>
      <x:c r="D816" s="12" t="str">
        <x:v>Airline Pilots, Copilots, and Flight Engineers</x:v>
      </x:c>
      <x:c r="E816" s="2" t="str">
        <x:v>Include</x:v>
      </x:c>
      <x:c r="F816" s="2" t="str">
        <x:v>Yes</x:v>
      </x:c>
      <x:c r="G816" s="15" t="str">
        <x:v>6/6</x:v>
      </x:c>
      <x:c r="H816" s="18" t="n">
        <x:v>5.67</x:v>
      </x:c>
      <x:c r="I816" s="18" t="n">
        <x:v>5.83</x:v>
      </x:c>
      <x:c r="J816" s="18" t="n">
        <x:v>5.67</x:v>
      </x:c>
      <x:c r="K816" s="18" t="n">
        <x:v>5</x:v>
      </x:c>
      <x:c r="L816" s="18" t="n">
        <x:v>6.33</x:v>
      </x:c>
      <x:c r="M816" s="18" t="n">
        <x:v>6.33</x:v>
      </x:c>
      <x:c r="N816" s="12" t="str">
        <x:v>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x:v>
      </x:c>
      <x:c r="O816" s="12" t="str">
        <x:v>https://www.onetonline.org/link/summary/53-2011.00</x:v>
      </x:c>
      <x:c r="P816" s="12" t="str">
        <x:v>SOC53 transportation and material-moving occupations.</x:v>
      </x:c>
    </x:row>
    <x:row r="817" ht="37.5" customHeight="1">
      <x:c r="A817" s="15" t="str">
        <x:v>784050</x:v>
      </x:c>
      <x:c r="B817" s="12" t="str">
        <x:v>Transportation and material moving occupations</x:v>
      </x:c>
      <x:c r="C817" s="35" t="str">
        <x:v>53-2012.00</x:v>
      </x:c>
      <x:c r="D817" s="12" t="str">
        <x:v>Commercial Pilots</x:v>
      </x:c>
      <x:c r="E817" s="2" t="str">
        <x:v>Include</x:v>
      </x:c>
      <x:c r="F817" s="2" t="str">
        <x:v>Yes</x:v>
      </x:c>
      <x:c r="G817" s="15" t="str">
        <x:v>6/6</x:v>
      </x:c>
      <x:c r="H817" s="18" t="n">
        <x:v>5.67</x:v>
      </x:c>
      <x:c r="I817" s="18" t="n">
        <x:v>4.67</x:v>
      </x:c>
      <x:c r="J817" s="18" t="n">
        <x:v>6</x:v>
      </x:c>
      <x:c r="K817" s="18" t="n">
        <x:v>4.67</x:v>
      </x:c>
      <x:c r="L817" s="18" t="n">
        <x:v>6.67</x:v>
      </x:c>
      <x:c r="M817" s="18" t="n">
        <x:v>6.33</x:v>
      </x:c>
      <x:c r="N817" s="12" t="str">
        <x:v>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x:v>
      </x:c>
      <x:c r="O817" s="12" t="str">
        <x:v>https://www.onetonline.org/link/summary/53-2012.00</x:v>
      </x:c>
      <x:c r="P817" s="12" t="str">
        <x:v>SOC53 transportation and material-moving occupations.</x:v>
      </x:c>
    </x:row>
    <x:row r="818" ht="37.5" customHeight="1">
      <x:c r="A818" s="15" t="str">
        <x:v>784050</x:v>
      </x:c>
      <x:c r="B818" s="12" t="str">
        <x:v>Transportation and material moving occupations</x:v>
      </x:c>
      <x:c r="C818" s="35" t="str">
        <x:v>53-2021.00</x:v>
      </x:c>
      <x:c r="D818" s="12" t="str">
        <x:v>Air Traffic Controllers</x:v>
      </x:c>
      <x:c r="E818" s="2" t="str">
        <x:v>Include</x:v>
      </x:c>
      <x:c r="F818" s="2" t="str">
        <x:v>Yes</x:v>
      </x:c>
      <x:c r="G818" s="15" t="str">
        <x:v>6/6</x:v>
      </x:c>
      <x:c r="H818" s="18" t="n">
        <x:v>5</x:v>
      </x:c>
      <x:c r="I818" s="18" t="n">
        <x:v>5.33</x:v>
      </x:c>
      <x:c r="J818" s="18" t="n">
        <x:v>5</x:v>
      </x:c>
      <x:c r="K818" s="18" t="n">
        <x:v>3.33</x:v>
      </x:c>
      <x:c r="L818" s="18" t="n">
        <x:v>6</x:v>
      </x:c>
      <x:c r="M818" s="18" t="n">
        <x:v>5.33</x:v>
      </x:c>
      <x:c r="N818" s="12" t="str">
        <x:v>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x:v>
      </x:c>
      <x:c r="O818" s="12" t="str">
        <x:v>https://www.onetonline.org/link/summary/53-2021.00</x:v>
      </x:c>
      <x:c r="P818" s="12" t="str">
        <x:v>SOC53 transportation and material-moving occupations.</x:v>
      </x:c>
    </x:row>
    <x:row r="819" ht="37.5" customHeight="1">
      <x:c r="A819" s="15" t="str">
        <x:v>784050</x:v>
      </x:c>
      <x:c r="B819" s="12" t="str">
        <x:v>Transportation and material moving occupations</x:v>
      </x:c>
      <x:c r="C819" s="35" t="str">
        <x:v>53-2022.00</x:v>
      </x:c>
      <x:c r="D819" s="12" t="str">
        <x:v>Airfield Operations Specialists</x:v>
      </x:c>
      <x:c r="E819" s="2" t="str">
        <x:v>Include</x:v>
      </x:c>
      <x:c r="F819" s="2" t="str">
        <x:v>Yes</x:v>
      </x:c>
      <x:c r="G819" s="15" t="str">
        <x:v>6/6</x:v>
      </x:c>
      <x:c r="H819" s="18" t="n">
        <x:v>4</x:v>
      </x:c>
      <x:c r="I819" s="18" t="n">
        <x:v>4.17</x:v>
      </x:c>
      <x:c r="J819" s="18" t="n">
        <x:v>4</x:v>
      </x:c>
      <x:c r="K819" s="18" t="n">
        <x:v>3.67</x:v>
      </x:c>
      <x:c r="L819" s="18" t="n">
        <x:v>6</x:v>
      </x:c>
      <x:c r="M819" s="18" t="n">
        <x:v>4.33</x:v>
      </x:c>
      <x:c r="N819" s="12" t="str">
        <x:v>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x:v>
      </x:c>
      <x:c r="O819" s="12" t="str">
        <x:v>https://www.onetonline.org/link/summary/53-2022.00</x:v>
      </x:c>
      <x:c r="P819" s="12" t="str">
        <x:v>SOC53 transportation and material-moving occupations.</x:v>
      </x:c>
    </x:row>
    <x:row r="820" ht="37.5" customHeight="1">
      <x:c r="A820" s="15" t="str">
        <x:v>784050</x:v>
      </x:c>
      <x:c r="B820" s="12" t="str">
        <x:v>Transportation and material moving occupations</x:v>
      </x:c>
      <x:c r="C820" s="35" t="str">
        <x:v>53-2031.00</x:v>
      </x:c>
      <x:c r="D820" s="12" t="str">
        <x:v>Flight Attendants</x:v>
      </x:c>
      <x:c r="E820" s="2" t="str">
        <x:v>Include</x:v>
      </x:c>
      <x:c r="F820" s="2" t="str">
        <x:v>Yes</x:v>
      </x:c>
      <x:c r="G820" s="15" t="str">
        <x:v>6/6</x:v>
      </x:c>
      <x:c r="H820" s="18" t="n">
        <x:v>3.67</x:v>
      </x:c>
      <x:c r="I820" s="18" t="n">
        <x:v>4.83</x:v>
      </x:c>
      <x:c r="J820" s="18" t="n">
        <x:v>3</x:v>
      </x:c>
      <x:c r="K820" s="18" t="n">
        <x:v>6.33</x:v>
      </x:c>
      <x:c r="L820" s="18" t="n">
        <x:v>6</x:v>
      </x:c>
      <x:c r="M820" s="18" t="n">
        <x:v>4.67</x:v>
      </x:c>
      <x:c r="N820" s="12" t="str">
        <x:v>Monitor safety of the aircraft cabin. Provide services to airline passengers, explain safety information, serve food and beverages, and respond to emergency incidents.</x:v>
      </x:c>
      <x:c r="O820" s="12" t="str">
        <x:v>https://www.onetonline.org/link/summary/53-2031.00</x:v>
      </x:c>
      <x:c r="P820" s="12" t="str">
        <x:v>SOC53 transportation and material-moving occupations.</x:v>
      </x:c>
    </x:row>
    <x:row r="821" ht="37.5" customHeight="1">
      <x:c r="A821" s="15" t="str">
        <x:v>784050</x:v>
      </x:c>
      <x:c r="B821" s="12" t="str">
        <x:v>Transportation and material moving occupations</x:v>
      </x:c>
      <x:c r="C821" s="35" t="str">
        <x:v>53-3011.00</x:v>
      </x:c>
      <x:c r="D821" s="12" t="str">
        <x:v>Ambulance Drivers and Attendants, Except Emergency Medical Technicians</x:v>
      </x:c>
      <x:c r="E821" s="2" t="str">
        <x:v>Include</x:v>
      </x:c>
      <x:c r="F821" s="2" t="str">
        <x:v>Yes</x:v>
      </x:c>
      <x:c r="G821" s="15" t="str">
        <x:v>6/6</x:v>
      </x:c>
      <x:c r="H821" s="18" t="n">
        <x:v>3</x:v>
      </x:c>
      <x:c r="I821" s="18" t="n">
        <x:v>3.17</x:v>
      </x:c>
      <x:c r="J821" s="18" t="n">
        <x:v>3</x:v>
      </x:c>
      <x:c r="K821" s="18" t="n">
        <x:v>5.67</x:v>
      </x:c>
      <x:c r="L821" s="18" t="n">
        <x:v>5</x:v>
      </x:c>
      <x:c r="M821" s="18" t="n">
        <x:v>3.33</x:v>
      </x:c>
      <x:c r="N821" s="12" t="str">
        <x:v>Drive ambulance or assist ambulance driver in transporting sick, injured, or convalescent persons. Assist in lifting patients.</x:v>
      </x:c>
      <x:c r="O821" s="12" t="str">
        <x:v>https://www.onetonline.org/link/summary/53-3011.00</x:v>
      </x:c>
      <x:c r="P821" s="12" t="str">
        <x:v>SOC53 transportation and material-moving occupations.</x:v>
      </x:c>
    </x:row>
    <x:row r="822" ht="37.5" customHeight="1">
      <x:c r="A822" s="15" t="str">
        <x:v>784050</x:v>
      </x:c>
      <x:c r="B822" s="12" t="str">
        <x:v>Transportation and material moving occupations</x:v>
      </x:c>
      <x:c r="C822" s="35" t="str">
        <x:v>53-3031.00</x:v>
      </x:c>
      <x:c r="D822" s="12" t="str">
        <x:v>Driver/Sales Workers</x:v>
      </x:c>
      <x:c r="E822" s="2" t="str">
        <x:v>Include</x:v>
      </x:c>
      <x:c r="F822" s="2" t="str">
        <x:v>Yes</x:v>
      </x:c>
      <x:c r="G822" s="15" t="str">
        <x:v>6/6</x:v>
      </x:c>
      <x:c r="H822" s="18" t="n">
        <x:v>2</x:v>
      </x:c>
      <x:c r="I822" s="18" t="n">
        <x:v>3.17</x:v>
      </x:c>
      <x:c r="J822" s="18" t="n">
        <x:v>2</x:v>
      </x:c>
      <x:c r="K822" s="18" t="n">
        <x:v>3.33</x:v>
      </x:c>
      <x:c r="L822" s="18" t="n">
        <x:v>4.33</x:v>
      </x:c>
      <x:c r="M822" s="18" t="n">
        <x:v>3.67</x:v>
      </x:c>
      <x:c r="N822" s="12" t="str">
        <x:v>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x:v>
      </x:c>
      <x:c r="O822" s="12" t="str">
        <x:v>https://www.onetonline.org/link/summary/53-3031.00</x:v>
      </x:c>
      <x:c r="P822" s="12" t="str">
        <x:v>SOC53 transportation and material-moving occupations.</x:v>
      </x:c>
    </x:row>
    <x:row r="823" ht="37.5" customHeight="1">
      <x:c r="A823" s="15" t="str">
        <x:v>784050</x:v>
      </x:c>
      <x:c r="B823" s="12" t="str">
        <x:v>Transportation and material moving occupations</x:v>
      </x:c>
      <x:c r="C823" s="35" t="str">
        <x:v>53-3032.00</x:v>
      </x:c>
      <x:c r="D823" s="12" t="str">
        <x:v>Heavy and Tractor-Trailer Truck Drivers</x:v>
      </x:c>
      <x:c r="E823" s="2" t="str">
        <x:v>Include</x:v>
      </x:c>
      <x:c r="F823" s="2" t="str">
        <x:v>Yes</x:v>
      </x:c>
      <x:c r="G823" s="15" t="str">
        <x:v>6/6</x:v>
      </x:c>
      <x:c r="H823" s="18" t="n">
        <x:v>2.67</x:v>
      </x:c>
      <x:c r="I823" s="18" t="n">
        <x:v>3.33</x:v>
      </x:c>
      <x:c r="J823" s="18" t="n">
        <x:v>2.33</x:v>
      </x:c>
      <x:c r="K823" s="18" t="n">
        <x:v>3</x:v>
      </x:c>
      <x:c r="L823" s="18" t="n">
        <x:v>4.67</x:v>
      </x:c>
      <x:c r="M823" s="18" t="n">
        <x:v>4.33</x:v>
      </x:c>
      <x:c r="N823" s="12" t="str">
        <x:v>Drive a tractor-trailer combination or a truck with a capacity of at least 26,001 pounds Gross Vehicle Weight (GVW). May be required to unload truck. Requires commercial drivers' license. Includes tow truck drivers.</x:v>
      </x:c>
      <x:c r="O823" s="12" t="str">
        <x:v>https://www.onetonline.org/link/summary/53-3032.00</x:v>
      </x:c>
      <x:c r="P823" s="12" t="str">
        <x:v>SOC53 transportation and material-moving occupations.</x:v>
      </x:c>
    </x:row>
    <x:row r="824" ht="37.5" customHeight="1">
      <x:c r="A824" s="15" t="str">
        <x:v>784050</x:v>
      </x:c>
      <x:c r="B824" s="12" t="str">
        <x:v>Transportation and material moving occupations</x:v>
      </x:c>
      <x:c r="C824" s="35" t="str">
        <x:v>53-3033.00</x:v>
      </x:c>
      <x:c r="D824" s="12" t="str">
        <x:v>Light Truck Drivers</x:v>
      </x:c>
      <x:c r="E824" s="2" t="str">
        <x:v>Include</x:v>
      </x:c>
      <x:c r="F824" s="2" t="str">
        <x:v>Yes</x:v>
      </x:c>
      <x:c r="G824" s="15" t="str">
        <x:v>6/6</x:v>
      </x:c>
      <x:c r="H824" s="18" t="n">
        <x:v>2</x:v>
      </x:c>
      <x:c r="I824" s="18" t="n">
        <x:v>2.67</x:v>
      </x:c>
      <x:c r="J824" s="18" t="n">
        <x:v>2</x:v>
      </x:c>
      <x:c r="K824" s="18" t="n">
        <x:v>2.33</x:v>
      </x:c>
      <x:c r="L824" s="18" t="n">
        <x:v>4.67</x:v>
      </x:c>
      <x:c r="M824" s="18" t="n">
        <x:v>3</x:v>
      </x:c>
      <x:c r="N824" s="12" t="str">
        <x:v>Drive a light vehicle, such as a truck or van, with a capacity of less than 26,001 pounds Gross Vehicle Weight (GVW), primarily to pick up merchandise or packages from a distribution center and deliver. May load and unload vehicle.</x:v>
      </x:c>
      <x:c r="O824" s="12" t="str">
        <x:v>https://www.onetonline.org/link/summary/53-3033.00</x:v>
      </x:c>
      <x:c r="P824" s="12" t="str">
        <x:v>SOC53 transportation and material-moving occupations.</x:v>
      </x:c>
    </x:row>
    <x:row r="825" ht="37.5" customHeight="1">
      <x:c r="A825" s="15" t="str">
        <x:v>784050</x:v>
      </x:c>
      <x:c r="B825" s="12" t="str">
        <x:v>Transportation and material moving occupations</x:v>
      </x:c>
      <x:c r="C825" s="35" t="str">
        <x:v>53-3051.00</x:v>
      </x:c>
      <x:c r="D825" s="12" t="str">
        <x:v>Bus Drivers, School</x:v>
      </x:c>
      <x:c r="E825" s="2" t="str">
        <x:v>Exclude (no Work Values)</x:v>
      </x:c>
      <x:c r="F825" s="2" t="str">
        <x:v>Yes</x:v>
      </x:c>
      <x:c r="G825" s="15" t="str">
        <x:v>0/6</x:v>
      </x:c>
      <x:c r="H825" s="18"/>
      <x:c r="I825" s="18"/>
      <x:c r="J825" s="18"/>
      <x:c r="K825" s="18"/>
      <x:c r="L825" s="18"/>
      <x:c r="M825" s="18"/>
      <x:c r="N825" s="12" t="str">
        <x:v>Drive a school bus to transport students. Ensure adherence to safety rules. May assist students in boarding or exiting.</x:v>
      </x:c>
      <x:c r="O825" s="12" t="str">
        <x:v>https://www.onetonline.org/link/summary/53-3051.00</x:v>
      </x:c>
      <x:c r="P825" s="12" t="str">
        <x:v>SOC53 transportation and material-moving occupations.</x:v>
      </x:c>
    </x:row>
    <x:row r="826" ht="37.5" customHeight="1">
      <x:c r="A826" s="15" t="str">
        <x:v>784050</x:v>
      </x:c>
      <x:c r="B826" s="12" t="str">
        <x:v>Transportation and material moving occupations</x:v>
      </x:c>
      <x:c r="C826" s="35" t="str">
        <x:v>53-3052.00</x:v>
      </x:c>
      <x:c r="D826" s="12" t="str">
        <x:v>Bus Drivers, Transit and Intercity</x:v>
      </x:c>
      <x:c r="E826" s="2" t="str">
        <x:v>Include</x:v>
      </x:c>
      <x:c r="F826" s="2" t="str">
        <x:v>Yes</x:v>
      </x:c>
      <x:c r="G826" s="15" t="str">
        <x:v>6/6</x:v>
      </x:c>
      <x:c r="H826" s="18" t="n">
        <x:v>3</x:v>
      </x:c>
      <x:c r="I826" s="18" t="n">
        <x:v>3</x:v>
      </x:c>
      <x:c r="J826" s="18" t="n">
        <x:v>2</x:v>
      </x:c>
      <x:c r="K826" s="18" t="n">
        <x:v>5</x:v>
      </x:c>
      <x:c r="L826" s="18" t="n">
        <x:v>5</x:v>
      </x:c>
      <x:c r="M826" s="18" t="n">
        <x:v>4.33</x:v>
      </x:c>
      <x:c r="N826" s="12" t="str">
        <x:v>Drive bus or motor coach, including regular route operations, charters, and private carriage. May assist passengers with baggage. May collect fares or tickets.</x:v>
      </x:c>
      <x:c r="O826" s="12" t="str">
        <x:v>https://www.onetonline.org/link/summary/53-3052.00</x:v>
      </x:c>
      <x:c r="P826" s="12" t="str">
        <x:v>SOC53 transportation and material-moving occupations.</x:v>
      </x:c>
    </x:row>
    <x:row r="827" ht="37.5" customHeight="1">
      <x:c r="A827" s="15" t="str">
        <x:v>784050</x:v>
      </x:c>
      <x:c r="B827" s="12" t="str">
        <x:v>Transportation and material moving occupations</x:v>
      </x:c>
      <x:c r="C827" s="35" t="str">
        <x:v>53-3053.00</x:v>
      </x:c>
      <x:c r="D827" s="12" t="str">
        <x:v>Shuttle Drivers and Chauffeurs</x:v>
      </x:c>
      <x:c r="E827" s="2" t="str">
        <x:v>Exclude (no Work Values)</x:v>
      </x:c>
      <x:c r="F827" s="2" t="str">
        <x:v>Yes</x:v>
      </x:c>
      <x:c r="G827" s="15" t="str">
        <x:v>0/6</x:v>
      </x:c>
      <x:c r="H827" s="18"/>
      <x:c r="I827" s="18"/>
      <x:c r="J827" s="18"/>
      <x:c r="K827" s="18"/>
      <x:c r="L827" s="18"/>
      <x:c r="M827" s="18"/>
      <x:c r="N827" s="12" t="str">
        <x:v>Drive a motor vehicle to transport passengers on a planned or scheduled basis. May collect a fare. Includes nonemergency medical transporters and hearse drivers.</x:v>
      </x:c>
      <x:c r="O827" s="12" t="str">
        <x:v>https://www.onetonline.org/link/summary/53-3053.00</x:v>
      </x:c>
      <x:c r="P827" s="12" t="str">
        <x:v>SOC53 transportation and material-moving occupations.</x:v>
      </x:c>
    </x:row>
    <x:row r="828" ht="37.5" customHeight="1">
      <x:c r="A828" s="15" t="str">
        <x:v>784050</x:v>
      </x:c>
      <x:c r="B828" s="12" t="str">
        <x:v>Transportation and material moving occupations</x:v>
      </x:c>
      <x:c r="C828" s="35" t="str">
        <x:v>53-3054.00</x:v>
      </x:c>
      <x:c r="D828" s="12" t="str">
        <x:v>Taxi Drivers</x:v>
      </x:c>
      <x:c r="E828" s="2" t="str">
        <x:v>Exclude (no Work Values)</x:v>
      </x:c>
      <x:c r="F828" s="2" t="str">
        <x:v>Yes</x:v>
      </x:c>
      <x:c r="G828" s="15" t="str">
        <x:v>0/6</x:v>
      </x:c>
      <x:c r="H828" s="18"/>
      <x:c r="I828" s="18"/>
      <x:c r="J828" s="18"/>
      <x:c r="K828" s="18"/>
      <x:c r="L828" s="18"/>
      <x:c r="M828" s="18"/>
      <x:c r="N828" s="12" t="str">
        <x:v>Drive a motor vehicle to transport passengers on an unplanned basis and charge a fare, usually based on a meter.</x:v>
      </x:c>
      <x:c r="O828" s="12" t="str">
        <x:v>https://www.onetonline.org/link/summary/53-3054.00</x:v>
      </x:c>
      <x:c r="P828" s="12" t="str">
        <x:v>SOC53 transportation and material-moving occupations.</x:v>
      </x:c>
    </x:row>
    <x:row r="829" ht="37.5" customHeight="1">
      <x:c r="A829" s="15" t="str">
        <x:v>784050</x:v>
      </x:c>
      <x:c r="B829" s="12" t="str">
        <x:v>Transportation and material moving occupations</x:v>
      </x:c>
      <x:c r="C829" s="35" t="str">
        <x:v>53-3099.00</x:v>
      </x:c>
      <x:c r="D829" s="12" t="str">
        <x:v>Motor Vehicle Operators, All Other</x:v>
      </x:c>
      <x:c r="E829" s="2" t="str">
        <x:v>Exclude (no Work Values)</x:v>
      </x:c>
      <x:c r="F829" s="2" t="str">
        <x:v>Yes</x:v>
      </x:c>
      <x:c r="G829" s="15" t="str">
        <x:v>0/6</x:v>
      </x:c>
      <x:c r="H829" s="18"/>
      <x:c r="I829" s="18"/>
      <x:c r="J829" s="18"/>
      <x:c r="K829" s="18"/>
      <x:c r="L829" s="18"/>
      <x:c r="M829" s="18"/>
      <x:c r="N829" s="12" t="str">
        <x:v>All motor vehicle operators not listed separately.</x:v>
      </x:c>
      <x:c r="O829" s="12" t="str">
        <x:v>https://www.onetonline.org/link/summary/53-3099.00</x:v>
      </x:c>
      <x:c r="P829" s="12" t="str">
        <x:v>SOC53 transportation and material-moving occupations.</x:v>
      </x:c>
    </x:row>
    <x:row r="830" ht="37.5" customHeight="1">
      <x:c r="A830" s="15" t="str">
        <x:v>784050</x:v>
      </x:c>
      <x:c r="B830" s="12" t="str">
        <x:v>Transportation and material moving occupations</x:v>
      </x:c>
      <x:c r="C830" s="35" t="str">
        <x:v>53-4011.00</x:v>
      </x:c>
      <x:c r="D830" s="12" t="str">
        <x:v>Locomotive Engineers</x:v>
      </x:c>
      <x:c r="E830" s="2" t="str">
        <x:v>Include</x:v>
      </x:c>
      <x:c r="F830" s="2" t="str">
        <x:v>Yes</x:v>
      </x:c>
      <x:c r="G830" s="15" t="str">
        <x:v>6/6</x:v>
      </x:c>
      <x:c r="H830" s="18" t="n">
        <x:v>2.67</x:v>
      </x:c>
      <x:c r="I830" s="18" t="n">
        <x:v>4.33</x:v>
      </x:c>
      <x:c r="J830" s="18" t="n">
        <x:v>3.33</x:v>
      </x:c>
      <x:c r="K830" s="18" t="n">
        <x:v>4.33</x:v>
      </x:c>
      <x:c r="L830" s="18" t="n">
        <x:v>6</x:v>
      </x:c>
      <x:c r="M830" s="18" t="n">
        <x:v>3.67</x:v>
      </x:c>
      <x:c r="N830" s="12" t="str">
        <x:v>Drive electric, diesel-electric, steam, or gas-turbine-electric locomotives to transport passengers or freight. Interpret train orders, electronic or manual signals, and railroad rules and regulations.</x:v>
      </x:c>
      <x:c r="O830" s="12" t="str">
        <x:v>https://www.onetonline.org/link/summary/53-4011.00</x:v>
      </x:c>
      <x:c r="P830" s="12" t="str">
        <x:v>SOC53 transportation and material-moving occupations.</x:v>
      </x:c>
    </x:row>
    <x:row r="831" ht="37.5" customHeight="1">
      <x:c r="A831" s="15" t="str">
        <x:v>784050</x:v>
      </x:c>
      <x:c r="B831" s="12" t="str">
        <x:v>Transportation and material moving occupations</x:v>
      </x:c>
      <x:c r="C831" s="35" t="str">
        <x:v>53-4013.00</x:v>
      </x:c>
      <x:c r="D831" s="12" t="str">
        <x:v>Rail Yard Engineers, Dinkey Operators, and Hostlers</x:v>
      </x:c>
      <x:c r="E831" s="2" t="str">
        <x:v>Include</x:v>
      </x:c>
      <x:c r="F831" s="2" t="str">
        <x:v>Yes</x:v>
      </x:c>
      <x:c r="G831" s="15" t="str">
        <x:v>6/6</x:v>
      </x:c>
      <x:c r="H831" s="18" t="n">
        <x:v>2.33</x:v>
      </x:c>
      <x:c r="I831" s="18" t="n">
        <x:v>3.5</x:v>
      </x:c>
      <x:c r="J831" s="18" t="n">
        <x:v>2</x:v>
      </x:c>
      <x:c r="K831" s="18" t="n">
        <x:v>4.33</x:v>
      </x:c>
      <x:c r="L831" s="18" t="n">
        <x:v>6</x:v>
      </x:c>
      <x:c r="M831" s="18" t="n">
        <x:v>3.67</x:v>
      </x:c>
      <x:c r="N831" s="12" t="str">
        <x:v>Drive switching or other locomotive or dinkey engines within railroad yard, industrial plant, quarry, construction project, or similar location.</x:v>
      </x:c>
      <x:c r="O831" s="12" t="str">
        <x:v>https://www.onetonline.org/link/summary/53-4013.00</x:v>
      </x:c>
      <x:c r="P831" s="12" t="str">
        <x:v>SOC53 transportation and material-moving occupations.</x:v>
      </x:c>
    </x:row>
    <x:row r="832" ht="37.5" customHeight="1">
      <x:c r="A832" s="15" t="str">
        <x:v>784050</x:v>
      </x:c>
      <x:c r="B832" s="12" t="str">
        <x:v>Transportation and material moving occupations</x:v>
      </x:c>
      <x:c r="C832" s="35" t="str">
        <x:v>53-4022.00</x:v>
      </x:c>
      <x:c r="D832" s="12" t="str">
        <x:v>Railroad Brake, Signal, and Switch Operators and Locomotive Firers</x:v>
      </x:c>
      <x:c r="E832" s="2" t="str">
        <x:v>Include</x:v>
      </x:c>
      <x:c r="F832" s="2" t="str">
        <x:v>Yes</x:v>
      </x:c>
      <x:c r="G832" s="15" t="str">
        <x:v>6/6</x:v>
      </x:c>
      <x:c r="H832" s="18" t="n">
        <x:v>2.5</x:v>
      </x:c>
      <x:c r="I832" s="18" t="n">
        <x:v>3.33</x:v>
      </x:c>
      <x:c r="J832" s="18" t="n">
        <x:v>2</x:v>
      </x:c>
      <x:c r="K832" s="18" t="n">
        <x:v>3.67</x:v>
      </x:c>
      <x:c r="L832" s="18" t="n">
        <x:v>5.5</x:v>
      </x:c>
      <x:c r="M832" s="18" t="n">
        <x:v>2.83</x:v>
      </x:c>
      <x:c r="N832" s="12" t="str">
        <x:v>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x:v>
      </x:c>
      <x:c r="O832" s="12" t="str">
        <x:v>https://www.onetonline.org/link/summary/53-4022.00</x:v>
      </x:c>
      <x:c r="P832" s="12" t="str">
        <x:v>SOC53 transportation and material-moving occupations.</x:v>
      </x:c>
    </x:row>
    <x:row r="833" ht="37.5" customHeight="1">
      <x:c r="A833" s="15" t="str">
        <x:v>784050</x:v>
      </x:c>
      <x:c r="B833" s="12" t="str">
        <x:v>Transportation and material moving occupations</x:v>
      </x:c>
      <x:c r="C833" s="35" t="str">
        <x:v>53-4031.00</x:v>
      </x:c>
      <x:c r="D833" s="12" t="str">
        <x:v>Railroad Conductors and Yardmasters</x:v>
      </x:c>
      <x:c r="E833" s="2" t="str">
        <x:v>Include</x:v>
      </x:c>
      <x:c r="F833" s="2" t="str">
        <x:v>Yes</x:v>
      </x:c>
      <x:c r="G833" s="15" t="str">
        <x:v>6/6</x:v>
      </x:c>
      <x:c r="H833" s="18" t="n">
        <x:v>3.33</x:v>
      </x:c>
      <x:c r="I833" s="18" t="n">
        <x:v>4.33</x:v>
      </x:c>
      <x:c r="J833" s="18" t="n">
        <x:v>3</x:v>
      </x:c>
      <x:c r="K833" s="18" t="n">
        <x:v>3.67</x:v>
      </x:c>
      <x:c r="L833" s="18" t="n">
        <x:v>5.67</x:v>
      </x:c>
      <x:c r="M833" s="18" t="n">
        <x:v>5</x:v>
      </x:c>
      <x:c r="N833" s="12" t="str">
        <x:v>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x:v>
      </x:c>
      <x:c r="O833" s="12" t="str">
        <x:v>https://www.onetonline.org/link/summary/53-4031.00</x:v>
      </x:c>
      <x:c r="P833" s="12" t="str">
        <x:v>SOC53 transportation and material-moving occupations.</x:v>
      </x:c>
    </x:row>
    <x:row r="834" ht="37.5" customHeight="1">
      <x:c r="A834" s="15" t="str">
        <x:v>784050</x:v>
      </x:c>
      <x:c r="B834" s="12" t="str">
        <x:v>Transportation and material moving occupations</x:v>
      </x:c>
      <x:c r="C834" s="35" t="str">
        <x:v>53-4041.00</x:v>
      </x:c>
      <x:c r="D834" s="12" t="str">
        <x:v>Subway and Streetcar Operators</x:v>
      </x:c>
      <x:c r="E834" s="2" t="str">
        <x:v>Include</x:v>
      </x:c>
      <x:c r="F834" s="2" t="str">
        <x:v>Yes</x:v>
      </x:c>
      <x:c r="G834" s="15" t="str">
        <x:v>6/6</x:v>
      </x:c>
      <x:c r="H834" s="18" t="n">
        <x:v>2.33</x:v>
      </x:c>
      <x:c r="I834" s="18" t="n">
        <x:v>4</x:v>
      </x:c>
      <x:c r="J834" s="18" t="n">
        <x:v>3</x:v>
      </x:c>
      <x:c r="K834" s="18" t="n">
        <x:v>5</x:v>
      </x:c>
      <x:c r="L834" s="18" t="n">
        <x:v>5</x:v>
      </x:c>
      <x:c r="M834" s="18" t="n">
        <x:v>3</x:v>
      </x:c>
      <x:c r="N834" s="12" t="str">
        <x:v>Operate subway or elevated suburban trains with no separate locomotive, or electric-powered streetcar, to transport passengers. May handle fares.</x:v>
      </x:c>
      <x:c r="O834" s="12" t="str">
        <x:v>https://www.onetonline.org/link/summary/53-4041.00</x:v>
      </x:c>
      <x:c r="P834" s="12" t="str">
        <x:v>SOC53 transportation and material-moving occupations.</x:v>
      </x:c>
    </x:row>
    <x:row r="835" ht="37.5" customHeight="1">
      <x:c r="A835" s="15" t="str">
        <x:v>784050</x:v>
      </x:c>
      <x:c r="B835" s="12" t="str">
        <x:v>Transportation and material moving occupations</x:v>
      </x:c>
      <x:c r="C835" s="35" t="str">
        <x:v>53-4099.00</x:v>
      </x:c>
      <x:c r="D835" s="12" t="str">
        <x:v>Rail Transportation Workers, All Other</x:v>
      </x:c>
      <x:c r="E835" s="2" t="str">
        <x:v>Exclude (no Work Values)</x:v>
      </x:c>
      <x:c r="F835" s="2" t="str">
        <x:v>Yes</x:v>
      </x:c>
      <x:c r="G835" s="15" t="str">
        <x:v>0/6</x:v>
      </x:c>
      <x:c r="H835" s="18"/>
      <x:c r="I835" s="18"/>
      <x:c r="J835" s="18"/>
      <x:c r="K835" s="18"/>
      <x:c r="L835" s="18"/>
      <x:c r="M835" s="18"/>
      <x:c r="N835" s="12" t="str">
        <x:v>All rail transportation workers not listed separately.</x:v>
      </x:c>
      <x:c r="O835" s="12" t="str">
        <x:v>https://www.onetonline.org/link/summary/53-4099.00</x:v>
      </x:c>
      <x:c r="P835" s="12" t="str">
        <x:v>SOC53 transportation and material-moving occupations.</x:v>
      </x:c>
    </x:row>
    <x:row r="836" ht="37.5" customHeight="1">
      <x:c r="A836" s="15" t="str">
        <x:v>784050</x:v>
      </x:c>
      <x:c r="B836" s="12" t="str">
        <x:v>Transportation and material moving occupations</x:v>
      </x:c>
      <x:c r="C836" s="35" t="str">
        <x:v>53-5011.00</x:v>
      </x:c>
      <x:c r="D836" s="12" t="str">
        <x:v>Sailors and Marine Oilers</x:v>
      </x:c>
      <x:c r="E836" s="2" t="str">
        <x:v>Include</x:v>
      </x:c>
      <x:c r="F836" s="2" t="str">
        <x:v>Yes</x:v>
      </x:c>
      <x:c r="G836" s="15" t="str">
        <x:v>6/6</x:v>
      </x:c>
      <x:c r="H836" s="18" t="n">
        <x:v>3.67</x:v>
      </x:c>
      <x:c r="I836" s="18" t="n">
        <x:v>3.17</x:v>
      </x:c>
      <x:c r="J836" s="18" t="n">
        <x:v>2.67</x:v>
      </x:c>
      <x:c r="K836" s="18" t="n">
        <x:v>3.67</x:v>
      </x:c>
      <x:c r="L836" s="18" t="n">
        <x:v>5.67</x:v>
      </x:c>
      <x:c r="M836" s="18" t="n">
        <x:v>2.67</x:v>
      </x:c>
      <x:c r="N836" s="12" t="str">
        <x:v>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x:v>
      </x:c>
      <x:c r="O836" s="12" t="str">
        <x:v>https://www.onetonline.org/link/summary/53-5011.00</x:v>
      </x:c>
      <x:c r="P836" s="12" t="str">
        <x:v>SOC53 transportation and material-moving occupations.</x:v>
      </x:c>
    </x:row>
    <x:row r="837" ht="37.5" customHeight="1">
      <x:c r="A837" s="15" t="str">
        <x:v>784050</x:v>
      </x:c>
      <x:c r="B837" s="12" t="str">
        <x:v>Transportation and material moving occupations</x:v>
      </x:c>
      <x:c r="C837" s="35" t="str">
        <x:v>53-5021.00</x:v>
      </x:c>
      <x:c r="D837" s="12" t="str">
        <x:v>Captains, Mates, and Pilots of Water Vessels</x:v>
      </x:c>
      <x:c r="E837" s="2" t="str">
        <x:v>Include</x:v>
      </x:c>
      <x:c r="F837" s="2" t="str">
        <x:v>Yes</x:v>
      </x:c>
      <x:c r="G837" s="15" t="str">
        <x:v>6/6</x:v>
      </x:c>
      <x:c r="H837" s="18" t="n">
        <x:v>4.55</x:v>
      </x:c>
      <x:c r="I837" s="18" t="n">
        <x:v>4.5</x:v>
      </x:c>
      <x:c r="J837" s="18" t="n">
        <x:v>4.22</x:v>
      </x:c>
      <x:c r="K837" s="18" t="n">
        <x:v>4.67</x:v>
      </x:c>
      <x:c r="L837" s="18" t="n">
        <x:v>4.89</x:v>
      </x:c>
      <x:c r="M837" s="18" t="n">
        <x:v>5.78</x:v>
      </x:c>
      <x:c r="N837" s="12" t="str">
        <x:v>Command or supervise operations of ships and water vessels, such as tugboats and ferryboats. Required to hold license issued by U.S. Coast Guard.</x:v>
      </x:c>
      <x:c r="O837" s="12" t="str">
        <x:v>https://www.onetonline.org/link/summary/53-5021.00</x:v>
      </x:c>
      <x:c r="P837" s="12" t="str">
        <x:v>SOC53 transportation and material-moving occupations.</x:v>
      </x:c>
    </x:row>
    <x:row r="838" ht="37.5" customHeight="1">
      <x:c r="A838" s="15" t="str">
        <x:v>784050</x:v>
      </x:c>
      <x:c r="B838" s="12" t="str">
        <x:v>Transportation and material moving occupations</x:v>
      </x:c>
      <x:c r="C838" s="35" t="str">
        <x:v>53-5022.00</x:v>
      </x:c>
      <x:c r="D838" s="12" t="str">
        <x:v>Motorboat Operators</x:v>
      </x:c>
      <x:c r="E838" s="2" t="str">
        <x:v>Include</x:v>
      </x:c>
      <x:c r="F838" s="2" t="str">
        <x:v>Yes</x:v>
      </x:c>
      <x:c r="G838" s="15" t="str">
        <x:v>6/6</x:v>
      </x:c>
      <x:c r="H838" s="18" t="n">
        <x:v>3</x:v>
      </x:c>
      <x:c r="I838" s="18" t="n">
        <x:v>3.5</x:v>
      </x:c>
      <x:c r="J838" s="18" t="n">
        <x:v>3.33</x:v>
      </x:c>
      <x:c r="K838" s="18" t="n">
        <x:v>4.67</x:v>
      </x:c>
      <x:c r="L838" s="18" t="n">
        <x:v>4.67</x:v>
      </x:c>
      <x:c r="M838" s="18" t="n">
        <x:v>4.67</x:v>
      </x:c>
      <x:c r="N838" s="12" t="str">
        <x:v>Operate small motor-driven boats. May assist in navigational activities.</x:v>
      </x:c>
      <x:c r="O838" s="12" t="str">
        <x:v>https://www.onetonline.org/link/summary/53-5022.00</x:v>
      </x:c>
      <x:c r="P838" s="12" t="str">
        <x:v>SOC53 transportation and material-moving occupations.</x:v>
      </x:c>
    </x:row>
    <x:row r="839" ht="37.5" customHeight="1">
      <x:c r="A839" s="15" t="str">
        <x:v>784050</x:v>
      </x:c>
      <x:c r="B839" s="12" t="str">
        <x:v>Transportation and material moving occupations</x:v>
      </x:c>
      <x:c r="C839" s="35" t="str">
        <x:v>53-5031.00</x:v>
      </x:c>
      <x:c r="D839" s="12" t="str">
        <x:v>Ship Engineers</x:v>
      </x:c>
      <x:c r="E839" s="2" t="str">
        <x:v>Include</x:v>
      </x:c>
      <x:c r="F839" s="2" t="str">
        <x:v>Yes</x:v>
      </x:c>
      <x:c r="G839" s="15" t="str">
        <x:v>6/6</x:v>
      </x:c>
      <x:c r="H839" s="18" t="n">
        <x:v>4.67</x:v>
      </x:c>
      <x:c r="I839" s="18" t="n">
        <x:v>4.17</x:v>
      </x:c>
      <x:c r="J839" s="18" t="n">
        <x:v>4.67</x:v>
      </x:c>
      <x:c r="K839" s="18" t="n">
        <x:v>5</x:v>
      </x:c>
      <x:c r="L839" s="18" t="n">
        <x:v>5</x:v>
      </x:c>
      <x:c r="M839" s="18" t="n">
        <x:v>5</x:v>
      </x:c>
      <x:c r="N839" s="12" t="str">
        <x:v>Supervise and coordinate activities of crew engaged in operating and maintaining engines, boilers, deck machinery, and electrical, sanitary, and refrigeration equipment aboard ship.</x:v>
      </x:c>
      <x:c r="O839" s="12" t="str">
        <x:v>https://www.onetonline.org/link/summary/53-5031.00</x:v>
      </x:c>
      <x:c r="P839" s="12" t="str">
        <x:v>SOC53 transportation and material-moving occupations.</x:v>
      </x:c>
    </x:row>
    <x:row r="840" ht="37.5" customHeight="1">
      <x:c r="A840" s="15" t="str">
        <x:v>784050</x:v>
      </x:c>
      <x:c r="B840" s="12" t="str">
        <x:v>Transportation and material moving occupations</x:v>
      </x:c>
      <x:c r="C840" s="35" t="str">
        <x:v>53-6011.00</x:v>
      </x:c>
      <x:c r="D840" s="12" t="str">
        <x:v>Bridge and Lock Tenders</x:v>
      </x:c>
      <x:c r="E840" s="2" t="str">
        <x:v>Include</x:v>
      </x:c>
      <x:c r="F840" s="2" t="str">
        <x:v>Yes</x:v>
      </x:c>
      <x:c r="G840" s="15" t="str">
        <x:v>6/6</x:v>
      </x:c>
      <x:c r="H840" s="18" t="n">
        <x:v>3</x:v>
      </x:c>
      <x:c r="I840" s="18" t="n">
        <x:v>3.67</x:v>
      </x:c>
      <x:c r="J840" s="18" t="n">
        <x:v>2.33</x:v>
      </x:c>
      <x:c r="K840" s="18" t="n">
        <x:v>4.33</x:v>
      </x:c>
      <x:c r="L840" s="18" t="n">
        <x:v>4.33</x:v>
      </x:c>
      <x:c r="M840" s="18" t="n">
        <x:v>3.67</x:v>
      </x:c>
      <x:c r="N840" s="12" t="str">
        <x:v>Operate and tend bridges, canal locks, and lighthouses to permit marine passage on inland waterways, near shores, and at danger points in waterway passages. May supervise such operations. Includes drawbridge operators, lock operators, and slip bridge operators.</x:v>
      </x:c>
      <x:c r="O840" s="12" t="str">
        <x:v>https://www.onetonline.org/link/summary/53-6011.00</x:v>
      </x:c>
      <x:c r="P840" s="12" t="str">
        <x:v>SOC53 transportation and material-moving occupations.</x:v>
      </x:c>
    </x:row>
    <x:row r="841" ht="37.5" customHeight="1">
      <x:c r="A841" s="15" t="str">
        <x:v>784050</x:v>
      </x:c>
      <x:c r="B841" s="12" t="str">
        <x:v>Transportation and material moving occupations</x:v>
      </x:c>
      <x:c r="C841" s="35" t="str">
        <x:v>53-6021.00</x:v>
      </x:c>
      <x:c r="D841" s="12" t="str">
        <x:v>Parking Attendants</x:v>
      </x:c>
      <x:c r="E841" s="2" t="str">
        <x:v>Include</x:v>
      </x:c>
      <x:c r="F841" s="2" t="str">
        <x:v>Yes</x:v>
      </x:c>
      <x:c r="G841" s="15" t="str">
        <x:v>6/6</x:v>
      </x:c>
      <x:c r="H841" s="18" t="n">
        <x:v>1.67</x:v>
      </x:c>
      <x:c r="I841" s="18" t="n">
        <x:v>1.67</x:v>
      </x:c>
      <x:c r="J841" s="18" t="n">
        <x:v>1.33</x:v>
      </x:c>
      <x:c r="K841" s="18" t="n">
        <x:v>4.67</x:v>
      </x:c>
      <x:c r="L841" s="18" t="n">
        <x:v>2.33</x:v>
      </x:c>
      <x:c r="M841" s="18" t="n">
        <x:v>2.67</x:v>
      </x:c>
      <x:c r="N841" s="12" t="str">
        <x:v>Park vehicles or issue tickets for customers in a parking lot or garage. May park or tend vehicles in environments such as a car dealership or rental car facility. May collect fee.</x:v>
      </x:c>
      <x:c r="O841" s="12" t="str">
        <x:v>https://www.onetonline.org/link/summary/53-6021.00</x:v>
      </x:c>
      <x:c r="P841" s="12" t="str">
        <x:v>SOC53 transportation and material-moving occupations.</x:v>
      </x:c>
    </x:row>
    <x:row r="842" ht="37.5" customHeight="1">
      <x:c r="A842" s="15" t="str">
        <x:v>784050</x:v>
      </x:c>
      <x:c r="B842" s="12" t="str">
        <x:v>Transportation and material moving occupations</x:v>
      </x:c>
      <x:c r="C842" s="35" t="str">
        <x:v>53-6031.00</x:v>
      </x:c>
      <x:c r="D842" s="12" t="str">
        <x:v>Automotive and Watercraft Service Attendants</x:v>
      </x:c>
      <x:c r="E842" s="2" t="str">
        <x:v>Include</x:v>
      </x:c>
      <x:c r="F842" s="2" t="str">
        <x:v>Yes</x:v>
      </x:c>
      <x:c r="G842" s="15" t="str">
        <x:v>6/6</x:v>
      </x:c>
      <x:c r="H842" s="18" t="n">
        <x:v>1.67</x:v>
      </x:c>
      <x:c r="I842" s="18" t="n">
        <x:v>2.17</x:v>
      </x:c>
      <x:c r="J842" s="18" t="n">
        <x:v>1.67</x:v>
      </x:c>
      <x:c r="K842" s="18" t="n">
        <x:v>3.33</x:v>
      </x:c>
      <x:c r="L842" s="18" t="n">
        <x:v>4.67</x:v>
      </x:c>
      <x:c r="M842" s="18" t="n">
        <x:v>3</x:v>
      </x:c>
      <x:c r="N842" s="12" t="str">
        <x:v>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x:v>
      </x:c>
      <x:c r="O842" s="12" t="str">
        <x:v>https://www.onetonline.org/link/summary/53-6031.00</x:v>
      </x:c>
      <x:c r="P842" s="12" t="str">
        <x:v>SOC53 transportation and material-moving occupations.</x:v>
      </x:c>
    </x:row>
    <x:row r="843" ht="37.5" customHeight="1">
      <x:c r="A843" s="15" t="str">
        <x:v>784050</x:v>
      </x:c>
      <x:c r="B843" s="12" t="str">
        <x:v>Transportation and material moving occupations</x:v>
      </x:c>
      <x:c r="C843" s="35" t="str">
        <x:v>53-6032.00</x:v>
      </x:c>
      <x:c r="D843" s="12" t="str">
        <x:v>Aircraft Service Attendants</x:v>
      </x:c>
      <x:c r="E843" s="2" t="str">
        <x:v>Exclude (no Work Values)</x:v>
      </x:c>
      <x:c r="F843" s="2" t="str">
        <x:v>Yes</x:v>
      </x:c>
      <x:c r="G843" s="15" t="str">
        <x:v>0/6</x:v>
      </x:c>
      <x:c r="H843" s="18"/>
      <x:c r="I843" s="18"/>
      <x:c r="J843" s="18"/>
      <x:c r="K843" s="18"/>
      <x:c r="L843" s="18"/>
      <x:c r="M843" s="18"/>
      <x:c r="N843" s="12" t="str">
        <x:v>Service aircraft with fuel. May de-ice aircraft, refill water and cooling agents, empty sewage tanks, service air and oxygen systems, or clean and polish exterior.</x:v>
      </x:c>
      <x:c r="O843" s="12" t="str">
        <x:v>https://www.onetonline.org/link/summary/53-6032.00</x:v>
      </x:c>
      <x:c r="P843" s="12" t="str">
        <x:v>SOC53 transportation and material-moving occupations.</x:v>
      </x:c>
    </x:row>
    <x:row r="844" ht="37.5" customHeight="1">
      <x:c r="A844" s="15" t="str">
        <x:v>784050</x:v>
      </x:c>
      <x:c r="B844" s="12" t="str">
        <x:v>Transportation and material moving occupations</x:v>
      </x:c>
      <x:c r="C844" s="35" t="str">
        <x:v>53-6041.00</x:v>
      </x:c>
      <x:c r="D844" s="12" t="str">
        <x:v>Traffic Technicians</x:v>
      </x:c>
      <x:c r="E844" s="2" t="str">
        <x:v>Include</x:v>
      </x:c>
      <x:c r="F844" s="2" t="str">
        <x:v>Yes</x:v>
      </x:c>
      <x:c r="G844" s="15" t="str">
        <x:v>6/6</x:v>
      </x:c>
      <x:c r="H844" s="18" t="n">
        <x:v>3.33</x:v>
      </x:c>
      <x:c r="I844" s="18" t="n">
        <x:v>4.17</x:v>
      </x:c>
      <x:c r="J844" s="18" t="n">
        <x:v>2.67</x:v>
      </x:c>
      <x:c r="K844" s="18" t="n">
        <x:v>4.33</x:v>
      </x:c>
      <x:c r="L844" s="18" t="n">
        <x:v>4.33</x:v>
      </x:c>
      <x:c r="M844" s="18" t="n">
        <x:v>5</x:v>
      </x:c>
      <x:c r="N844" s="12" t="str">
        <x:v>Conduct field studies to determine traffic volume, speed, effectiveness of signals, adequacy of lighting, and other factors influencing traffic conditions, under direction of traffic engineer.</x:v>
      </x:c>
      <x:c r="O844" s="12" t="str">
        <x:v>https://www.onetonline.org/link/summary/53-6041.00</x:v>
      </x:c>
      <x:c r="P844" s="12" t="str">
        <x:v>SOC53 transportation and material-moving occupations.</x:v>
      </x:c>
    </x:row>
    <x:row r="845" ht="37.5" customHeight="1">
      <x:c r="A845" s="15" t="str">
        <x:v>784050</x:v>
      </x:c>
      <x:c r="B845" s="12" t="str">
        <x:v>Transportation and material moving occupations</x:v>
      </x:c>
      <x:c r="C845" s="35" t="str">
        <x:v>53-6051.00</x:v>
      </x:c>
      <x:c r="D845" s="12" t="str">
        <x:v>Transportation Inspectors</x:v>
      </x:c>
      <x:c r="E845" s="2" t="str">
        <x:v>Include</x:v>
      </x:c>
      <x:c r="F845" s="2" t="str">
        <x:v>Yes</x:v>
      </x:c>
      <x:c r="G845" s="15" t="str">
        <x:v>6/6</x:v>
      </x:c>
      <x:c r="H845" s="18" t="n">
        <x:v>3</x:v>
      </x:c>
      <x:c r="I845" s="18" t="n">
        <x:v>4.17</x:v>
      </x:c>
      <x:c r="J845" s="18" t="n">
        <x:v>2.67</x:v>
      </x:c>
      <x:c r="K845" s="18" t="n">
        <x:v>4</x:v>
      </x:c>
      <x:c r="L845" s="18" t="n">
        <x:v>4.33</x:v>
      </x:c>
      <x:c r="M845" s="18" t="n">
        <x:v>3.67</x:v>
      </x:c>
      <x:c r="N845" s="12" t="str">
        <x:v>Inspect equipment or goods in connection with the safe transport of cargo or people. Includes rail transportation inspectors, such as freight inspectors, rail inspectors, and other inspectors of transportation vehicles not elsewhere classified.</x:v>
      </x:c>
      <x:c r="O845" s="12" t="str">
        <x:v>https://www.onetonline.org/link/summary/53-6051.00</x:v>
      </x:c>
      <x:c r="P845" s="12" t="str">
        <x:v>SOC53 transportation and material-moving occupations.</x:v>
      </x:c>
    </x:row>
    <x:row r="846" ht="37.5" customHeight="1">
      <x:c r="A846" s="15" t="str">
        <x:v>784050</x:v>
      </x:c>
      <x:c r="B846" s="12" t="str">
        <x:v>Transportation and material moving occupations</x:v>
      </x:c>
      <x:c r="C846" s="35" t="str">
        <x:v>53-6061.00</x:v>
      </x:c>
      <x:c r="D846" s="12" t="str">
        <x:v>Passenger Attendants</x:v>
      </x:c>
      <x:c r="E846" s="2" t="str">
        <x:v>Include</x:v>
      </x:c>
      <x:c r="F846" s="2" t="str">
        <x:v>Yes</x:v>
      </x:c>
      <x:c r="G846" s="15" t="str">
        <x:v>6/6</x:v>
      </x:c>
      <x:c r="H846" s="18" t="n">
        <x:v>2.67</x:v>
      </x:c>
      <x:c r="I846" s="18" t="n">
        <x:v>2.33</x:v>
      </x:c>
      <x:c r="J846" s="18" t="n">
        <x:v>2</x:v>
      </x:c>
      <x:c r="K846" s="18" t="n">
        <x:v>4.67</x:v>
      </x:c>
      <x:c r="L846" s="18" t="n">
        <x:v>4</x:v>
      </x:c>
      <x:c r="M846" s="18" t="n">
        <x:v>2.67</x:v>
      </x:c>
      <x:c r="N846" s="12" t="str">
        <x:v>Provide services to ensure the safety of passengers aboard ships, buses, trains, or within the station or terminal. Perform duties such as explaining the use of safety equipment, serving meals or beverages, or answering questions related to travel.</x:v>
      </x:c>
      <x:c r="O846" s="12" t="str">
        <x:v>https://www.onetonline.org/link/summary/53-6061.00</x:v>
      </x:c>
      <x:c r="P846" s="12" t="str">
        <x:v>SOC53 transportation and material-moving occupations.</x:v>
      </x:c>
    </x:row>
    <x:row r="847" ht="37.5" customHeight="1">
      <x:c r="A847" s="15" t="str">
        <x:v>784050</x:v>
      </x:c>
      <x:c r="B847" s="12" t="str">
        <x:v>Transportation and material moving occupations</x:v>
      </x:c>
      <x:c r="C847" s="35" t="str">
        <x:v>53-6099.00</x:v>
      </x:c>
      <x:c r="D847" s="12" t="str">
        <x:v>Transportation Workers, All Other</x:v>
      </x:c>
      <x:c r="E847" s="2" t="str">
        <x:v>Exclude (no Work Values)</x:v>
      </x:c>
      <x:c r="F847" s="2" t="str">
        <x:v>Yes</x:v>
      </x:c>
      <x:c r="G847" s="15" t="str">
        <x:v>0/6</x:v>
      </x:c>
      <x:c r="H847" s="18"/>
      <x:c r="I847" s="18"/>
      <x:c r="J847" s="18"/>
      <x:c r="K847" s="18"/>
      <x:c r="L847" s="18"/>
      <x:c r="M847" s="18"/>
      <x:c r="N847" s="12" t="str">
        <x:v>All transportation workers not listed separately.</x:v>
      </x:c>
      <x:c r="O847" s="12" t="str">
        <x:v>https://www.onetonline.org/link/summary/53-6099.00</x:v>
      </x:c>
      <x:c r="P847" s="12" t="str">
        <x:v>SOC53 transportation and material-moving occupations.</x:v>
      </x:c>
    </x:row>
    <x:row r="848" ht="37.5" customHeight="1">
      <x:c r="A848" s="15" t="str">
        <x:v>784050</x:v>
      </x:c>
      <x:c r="B848" s="12" t="str">
        <x:v>Transportation and material moving occupations</x:v>
      </x:c>
      <x:c r="C848" s="35" t="str">
        <x:v>53-7011.00</x:v>
      </x:c>
      <x:c r="D848" s="12" t="str">
        <x:v>Conveyor Operators and Tenders</x:v>
      </x:c>
      <x:c r="E848" s="2" t="str">
        <x:v>Include</x:v>
      </x:c>
      <x:c r="F848" s="2" t="str">
        <x:v>Yes</x:v>
      </x:c>
      <x:c r="G848" s="15" t="str">
        <x:v>6/6</x:v>
      </x:c>
      <x:c r="H848" s="18" t="n">
        <x:v>2</x:v>
      </x:c>
      <x:c r="I848" s="18" t="n">
        <x:v>3.33</x:v>
      </x:c>
      <x:c r="J848" s="18" t="n">
        <x:v>2.33</x:v>
      </x:c>
      <x:c r="K848" s="18" t="n">
        <x:v>4.67</x:v>
      </x:c>
      <x:c r="L848" s="18" t="n">
        <x:v>6</x:v>
      </x:c>
      <x:c r="M848" s="18" t="n">
        <x:v>3.67</x:v>
      </x:c>
      <x:c r="N848" s="12" t="str">
        <x:v>Control or tend conveyors or conveyor systems that move materials or products to and from stockpiles, processing stations, departments, or vehicles. May control speed and routing of materials or products.</x:v>
      </x:c>
      <x:c r="O848" s="12" t="str">
        <x:v>https://www.onetonline.org/link/summary/53-7011.00</x:v>
      </x:c>
      <x:c r="P848" s="12" t="str">
        <x:v>SOC53 transportation and material-moving occupations.</x:v>
      </x:c>
    </x:row>
    <x:row r="849" ht="37.5" customHeight="1">
      <x:c r="A849" s="15" t="str">
        <x:v>784050</x:v>
      </x:c>
      <x:c r="B849" s="12" t="str">
        <x:v>Transportation and material moving occupations</x:v>
      </x:c>
      <x:c r="C849" s="35" t="str">
        <x:v>53-7021.00</x:v>
      </x:c>
      <x:c r="D849" s="12" t="str">
        <x:v>Crane and Tower Operators</x:v>
      </x:c>
      <x:c r="E849" s="2" t="str">
        <x:v>Include</x:v>
      </x:c>
      <x:c r="F849" s="2" t="str">
        <x:v>Yes</x:v>
      </x:c>
      <x:c r="G849" s="15" t="str">
        <x:v>6/6</x:v>
      </x:c>
      <x:c r="H849" s="18" t="n">
        <x:v>2.33</x:v>
      </x:c>
      <x:c r="I849" s="18" t="n">
        <x:v>3</x:v>
      </x:c>
      <x:c r="J849" s="18" t="n">
        <x:v>2.67</x:v>
      </x:c>
      <x:c r="K849" s="18" t="n">
        <x:v>3</x:v>
      </x:c>
      <x:c r="L849" s="18" t="n">
        <x:v>5.67</x:v>
      </x:c>
      <x:c r="M849" s="18" t="n">
        <x:v>4.67</x:v>
      </x:c>
      <x:c r="N849" s="12" t="str">
        <x:v>Operate mechanical boom and cable or tower and cable equipment to lift and move materials, machines, or products in many directions.</x:v>
      </x:c>
      <x:c r="O849" s="12" t="str">
        <x:v>https://www.onetonline.org/link/summary/53-7021.00</x:v>
      </x:c>
      <x:c r="P849" s="12" t="str">
        <x:v>SOC53 transportation and material-moving occupations.</x:v>
      </x:c>
    </x:row>
    <x:row r="850" ht="37.5" customHeight="1">
      <x:c r="A850" s="15" t="str">
        <x:v>784050</x:v>
      </x:c>
      <x:c r="B850" s="12" t="str">
        <x:v>Transportation and material moving occupations</x:v>
      </x:c>
      <x:c r="C850" s="35" t="str">
        <x:v>53-7031.00</x:v>
      </x:c>
      <x:c r="D850" s="12" t="str">
        <x:v>Dredge Operators</x:v>
      </x:c>
      <x:c r="E850" s="2" t="str">
        <x:v>Include</x:v>
      </x:c>
      <x:c r="F850" s="2" t="str">
        <x:v>Yes</x:v>
      </x:c>
      <x:c r="G850" s="15" t="str">
        <x:v>6/6</x:v>
      </x:c>
      <x:c r="H850" s="18" t="n">
        <x:v>1.67</x:v>
      </x:c>
      <x:c r="I850" s="18" t="n">
        <x:v>3</x:v>
      </x:c>
      <x:c r="J850" s="18" t="n">
        <x:v>1.67</x:v>
      </x:c>
      <x:c r="K850" s="18" t="n">
        <x:v>3.67</x:v>
      </x:c>
      <x:c r="L850" s="18" t="n">
        <x:v>4.67</x:v>
      </x:c>
      <x:c r="M850" s="18" t="n">
        <x:v>2.33</x:v>
      </x:c>
      <x:c r="N850" s="12" t="str">
        <x:v>Operate dredge to remove sand, gravel, or other materials in order to excavate and maintain navigable channels in waterways.</x:v>
      </x:c>
      <x:c r="O850" s="12" t="str">
        <x:v>https://www.onetonline.org/link/summary/53-7031.00</x:v>
      </x:c>
      <x:c r="P850" s="12" t="str">
        <x:v>SOC53 transportation and material-moving occupations.</x:v>
      </x:c>
    </x:row>
    <x:row r="851" ht="37.5" customHeight="1">
      <x:c r="A851" s="15" t="str">
        <x:v>784050</x:v>
      </x:c>
      <x:c r="B851" s="12" t="str">
        <x:v>Transportation and material moving occupations</x:v>
      </x:c>
      <x:c r="C851" s="35" t="str">
        <x:v>53-7041.00</x:v>
      </x:c>
      <x:c r="D851" s="12" t="str">
        <x:v>Hoist and Winch Operators</x:v>
      </x:c>
      <x:c r="E851" s="2" t="str">
        <x:v>Include</x:v>
      </x:c>
      <x:c r="F851" s="2" t="str">
        <x:v>Yes</x:v>
      </x:c>
      <x:c r="G851" s="15" t="str">
        <x:v>6/6</x:v>
      </x:c>
      <x:c r="H851" s="18" t="n">
        <x:v>3</x:v>
      </x:c>
      <x:c r="I851" s="18" t="n">
        <x:v>3.5</x:v>
      </x:c>
      <x:c r="J851" s="18" t="n">
        <x:v>2.33</x:v>
      </x:c>
      <x:c r="K851" s="18" t="n">
        <x:v>4</x:v>
      </x:c>
      <x:c r="L851" s="18" t="n">
        <x:v>6</x:v>
      </x:c>
      <x:c r="M851" s="18" t="n">
        <x:v>4.67</x:v>
      </x:c>
      <x:c r="N851" s="12" t="str">
        <x:v>Operate or tend hoists or winches to lift and pull loads using power-operated cable equipment.</x:v>
      </x:c>
      <x:c r="O851" s="12" t="str">
        <x:v>https://www.onetonline.org/link/summary/53-7041.00</x:v>
      </x:c>
      <x:c r="P851" s="12" t="str">
        <x:v>SOC53 transportation and material-moving occupations.</x:v>
      </x:c>
    </x:row>
    <x:row r="852" ht="37.5" customHeight="1">
      <x:c r="A852" s="15" t="str">
        <x:v>784050</x:v>
      </x:c>
      <x:c r="B852" s="12" t="str">
        <x:v>Transportation and material moving occupations</x:v>
      </x:c>
      <x:c r="C852" s="35" t="str">
        <x:v>53-7051.00</x:v>
      </x:c>
      <x:c r="D852" s="12" t="str">
        <x:v>Industrial Truck and Tractor Operators</x:v>
      </x:c>
      <x:c r="E852" s="2" t="str">
        <x:v>Include</x:v>
      </x:c>
      <x:c r="F852" s="2" t="str">
        <x:v>Yes</x:v>
      </x:c>
      <x:c r="G852" s="15" t="str">
        <x:v>6/6</x:v>
      </x:c>
      <x:c r="H852" s="18" t="n">
        <x:v>2.33</x:v>
      </x:c>
      <x:c r="I852" s="18" t="n">
        <x:v>2.5</x:v>
      </x:c>
      <x:c r="J852" s="18" t="n">
        <x:v>2.33</x:v>
      </x:c>
      <x:c r="K852" s="18" t="n">
        <x:v>4.33</x:v>
      </x:c>
      <x:c r="L852" s="18" t="n">
        <x:v>4.33</x:v>
      </x:c>
      <x:c r="M852" s="18" t="n">
        <x:v>3</x:v>
      </x:c>
      <x:c r="N852" s="12" t="str">
        <x:v>Operate industrial trucks or tractors equipped to move materials around a warehouse, storage yard, factory, construction site, or similar location.</x:v>
      </x:c>
      <x:c r="O852" s="12" t="str">
        <x:v>https://www.onetonline.org/link/summary/53-7051.00</x:v>
      </x:c>
      <x:c r="P852" s="12" t="str">
        <x:v>SOC53 transportation and material-moving occupations.</x:v>
      </x:c>
    </x:row>
    <x:row r="853" ht="37.5" customHeight="1">
      <x:c r="A853" s="15" t="str">
        <x:v>784050</x:v>
      </x:c>
      <x:c r="B853" s="12" t="str">
        <x:v>Transportation and material moving occupations</x:v>
      </x:c>
      <x:c r="C853" s="35" t="str">
        <x:v>53-7061.00</x:v>
      </x:c>
      <x:c r="D853" s="12" t="str">
        <x:v>Cleaners of Vehicles and Equipment</x:v>
      </x:c>
      <x:c r="E853" s="2" t="str">
        <x:v>Include</x:v>
      </x:c>
      <x:c r="F853" s="2" t="str">
        <x:v>Yes</x:v>
      </x:c>
      <x:c r="G853" s="15" t="str">
        <x:v>6/6</x:v>
      </x:c>
      <x:c r="H853" s="18" t="n">
        <x:v>1.33</x:v>
      </x:c>
      <x:c r="I853" s="18" t="n">
        <x:v>1.83</x:v>
      </x:c>
      <x:c r="J853" s="18" t="n">
        <x:v>1</x:v>
      </x:c>
      <x:c r="K853" s="18" t="n">
        <x:v>3.67</x:v>
      </x:c>
      <x:c r="L853" s="18" t="n">
        <x:v>3.67</x:v>
      </x:c>
      <x:c r="M853" s="18" t="n">
        <x:v>2.33</x:v>
      </x:c>
      <x:c r="N853" s="12" t="str">
        <x:v>Wash or otherwise clean vehicles, machinery, and other equipment. Use such materials as water, cleaning agents, brushes, cloths, and hoses.</x:v>
      </x:c>
      <x:c r="O853" s="12" t="str">
        <x:v>https://www.onetonline.org/link/summary/53-7061.00</x:v>
      </x:c>
      <x:c r="P853" s="12" t="str">
        <x:v>SOC53 transportation and material-moving occupations.</x:v>
      </x:c>
    </x:row>
    <x:row r="854" ht="37.5" customHeight="1">
      <x:c r="A854" s="15" t="str">
        <x:v>784050</x:v>
      </x:c>
      <x:c r="B854" s="12" t="str">
        <x:v>Transportation and material moving occupations</x:v>
      </x:c>
      <x:c r="C854" s="35" t="str">
        <x:v>53-7062.00</x:v>
      </x:c>
      <x:c r="D854" s="12" t="str">
        <x:v>Laborers and Freight, Stock, and Material Movers, Hand</x:v>
      </x:c>
      <x:c r="E854" s="2" t="str">
        <x:v>Include</x:v>
      </x:c>
      <x:c r="F854" s="2" t="str">
        <x:v>Yes</x:v>
      </x:c>
      <x:c r="G854" s="15" t="str">
        <x:v>6/6</x:v>
      </x:c>
      <x:c r="H854" s="18" t="n">
        <x:v>2</x:v>
      </x:c>
      <x:c r="I854" s="18" t="n">
        <x:v>2.17</x:v>
      </x:c>
      <x:c r="J854" s="18" t="n">
        <x:v>2</x:v>
      </x:c>
      <x:c r="K854" s="18" t="n">
        <x:v>4.33</x:v>
      </x:c>
      <x:c r="L854" s="18" t="n">
        <x:v>4.33</x:v>
      </x:c>
      <x:c r="M854" s="18" t="n">
        <x:v>2</x:v>
      </x:c>
      <x:c r="N854" s="12" t="str">
        <x:v>Manually move freight, stock, luggage, or other materials, or perform other general labor. Includes all manual laborers not elsewhere classified.</x:v>
      </x:c>
      <x:c r="O854" s="12" t="str">
        <x:v>https://www.onetonline.org/link/summary/53-7062.00</x:v>
      </x:c>
      <x:c r="P854" s="12" t="str">
        <x:v>SOC53 transportation and material-moving occupations.</x:v>
      </x:c>
    </x:row>
    <x:row r="855" ht="37.5" customHeight="1">
      <x:c r="A855" s="15" t="str">
        <x:v>784050</x:v>
      </x:c>
      <x:c r="B855" s="12" t="str">
        <x:v>Transportation and material moving occupations</x:v>
      </x:c>
      <x:c r="C855" s="35" t="str">
        <x:v>53-7063.00</x:v>
      </x:c>
      <x:c r="D855" s="12" t="str">
        <x:v>Machine Feeders and Offbearers</x:v>
      </x:c>
      <x:c r="E855" s="2" t="str">
        <x:v>Include</x:v>
      </x:c>
      <x:c r="F855" s="2" t="str">
        <x:v>Yes</x:v>
      </x:c>
      <x:c r="G855" s="15" t="str">
        <x:v>6/6</x:v>
      </x:c>
      <x:c r="H855" s="18" t="n">
        <x:v>2</x:v>
      </x:c>
      <x:c r="I855" s="18" t="n">
        <x:v>2.17</x:v>
      </x:c>
      <x:c r="J855" s="18" t="n">
        <x:v>2</x:v>
      </x:c>
      <x:c r="K855" s="18" t="n">
        <x:v>4.33</x:v>
      </x:c>
      <x:c r="L855" s="18" t="n">
        <x:v>4.33</x:v>
      </x:c>
      <x:c r="M855" s="18" t="n">
        <x:v>2.33</x:v>
      </x:c>
      <x:c r="N855" s="12" t="str">
        <x:v>Feed materials into or remove materials from machines or equipment that is automatic or tended by other workers.</x:v>
      </x:c>
      <x:c r="O855" s="12" t="str">
        <x:v>https://www.onetonline.org/link/summary/53-7063.00</x:v>
      </x:c>
      <x:c r="P855" s="12" t="str">
        <x:v>SOC53 transportation and material-moving occupations.</x:v>
      </x:c>
    </x:row>
    <x:row r="856" ht="37.5" customHeight="1">
      <x:c r="A856" s="1" t="str">
        <x:v>784050</x:v>
      </x:c>
      <x:c r="B856" s="32" t="str">
        <x:v>Transportation and material moving occupations</x:v>
      </x:c>
      <x:c r="C856" s="32" t="str">
        <x:v>53-7064.00</x:v>
      </x:c>
      <x:c r="D856" s="32" t="str">
        <x:v>Packers and Packagers, Hand</x:v>
      </x:c>
      <x:c r="E856" s="1" t="str">
        <x:v>Include</x:v>
      </x:c>
      <x:c r="F856" s="1" t="str">
        <x:v>Yes</x:v>
      </x:c>
      <x:c r="G856" s="1" t="str">
        <x:v>6/6</x:v>
      </x:c>
      <x:c r="H856" s="36" t="n">
        <x:v>1.67</x:v>
      </x:c>
      <x:c r="I856" s="36" t="n">
        <x:v>1.67</x:v>
      </x:c>
      <x:c r="J856" s="36" t="n">
        <x:v>1.33</x:v>
      </x:c>
      <x:c r="K856" s="36" t="n">
        <x:v>4.33</x:v>
      </x:c>
      <x:c r="L856" s="36" t="n">
        <x:v>3</x:v>
      </x:c>
      <x:c r="M856" s="36" t="n">
        <x:v>2</x:v>
      </x:c>
      <x:c r="N856" s="32" t="str">
        <x:v>Pack or package by hand a wide variety of products and materials.</x:v>
      </x:c>
      <x:c r="O856" s="32" t="str">
        <x:v>https://www.onetonline.org/link/summary/53-7064.00</x:v>
      </x:c>
      <x:c r="P856" s="32" t="str">
        <x:v>SOC53 transportation and material-moving occupations.</x:v>
      </x:c>
    </x:row>
    <x:row r="857" ht="37.5" customHeight="1">
      <x:c r="A857" s="1" t="str">
        <x:v>784050</x:v>
      </x:c>
      <x:c r="B857" s="32" t="str">
        <x:v>Transportation and material moving occupations</x:v>
      </x:c>
      <x:c r="C857" s="32" t="str">
        <x:v>53-7065.00</x:v>
      </x:c>
      <x:c r="D857" s="32" t="str">
        <x:v>Stockers and Order Fillers</x:v>
      </x:c>
      <x:c r="E857" s="1" t="str">
        <x:v>Include</x:v>
      </x:c>
      <x:c r="F857" s="1" t="str">
        <x:v>Yes</x:v>
      </x:c>
      <x:c r="G857" s="1" t="str">
        <x:v>6/6</x:v>
      </x:c>
      <x:c r="H857" s="36" t="n">
        <x:v>2</x:v>
      </x:c>
      <x:c r="I857" s="36" t="n">
        <x:v>2.29</x:v>
      </x:c>
      <x:c r="J857" s="36" t="n">
        <x:v>1.83</x:v>
      </x:c>
      <x:c r="K857" s="36" t="n">
        <x:v>4.5</x:v>
      </x:c>
      <x:c r="L857" s="36" t="n">
        <x:v>4.25</x:v>
      </x:c>
      <x:c r="M857" s="36" t="n">
        <x:v>2.83</x:v>
      </x:c>
      <x:c r="N857" s="32" t="str">
        <x:v>Receive, store, and issue merchandise, materials, equipment, and other items from stockroom, warehouse, or storage yard to fill shelves, racks, tables, or customers' orders. May operate power equipment to fill orders. May mark prices on merchandise and set up sales displays.</x:v>
      </x:c>
      <x:c r="O857" s="32" t="str">
        <x:v>https://www.onetonline.org/link/summary/53-7065.00</x:v>
      </x:c>
      <x:c r="P857" s="32" t="str">
        <x:v>SOC53 transportation and material-moving occupations.</x:v>
      </x:c>
    </x:row>
    <x:row r="858" ht="37.5" customHeight="1">
      <x:c r="A858" s="1" t="str">
        <x:v>784050</x:v>
      </x:c>
      <x:c r="B858" s="32" t="str">
        <x:v>Transportation and material moving occupations</x:v>
      </x:c>
      <x:c r="C858" s="32" t="str">
        <x:v>53-7071.00</x:v>
      </x:c>
      <x:c r="D858" s="32" t="str">
        <x:v>Gas Compressor and Gas Pumping Station Operators</x:v>
      </x:c>
      <x:c r="E858" s="1" t="str">
        <x:v>Include</x:v>
      </x:c>
      <x:c r="F858" s="1" t="str">
        <x:v>Yes</x:v>
      </x:c>
      <x:c r="G858" s="1" t="str">
        <x:v>6/6</x:v>
      </x:c>
      <x:c r="H858" s="36" t="n">
        <x:v>2.33</x:v>
      </x:c>
      <x:c r="I858" s="36" t="n">
        <x:v>3.33</x:v>
      </x:c>
      <x:c r="J858" s="36" t="n">
        <x:v>2</x:v>
      </x:c>
      <x:c r="K858" s="36" t="n">
        <x:v>3.33</x:v>
      </x:c>
      <x:c r="L858" s="36" t="n">
        <x:v>4.67</x:v>
      </x:c>
      <x:c r="M858" s="36" t="n">
        <x:v>3.67</x:v>
      </x:c>
      <x:c r="N858" s="32" t="str">
        <x:v>Operate steam-, gas-, electric motor-, or internal combustion-engine driven compressors. Transmit, compress, or recover gases, such as butane, nitrogen, hydrogen, and natural gas.</x:v>
      </x:c>
      <x:c r="O858" s="32" t="str">
        <x:v>https://www.onetonline.org/link/summary/53-7071.00</x:v>
      </x:c>
      <x:c r="P858" s="32" t="str">
        <x:v>SOC53 transportation and material-moving occupations.</x:v>
      </x:c>
    </x:row>
    <x:row r="859" ht="37.5" customHeight="1">
      <x:c r="A859" s="1" t="str">
        <x:v>784050</x:v>
      </x:c>
      <x:c r="B859" s="32" t="str">
        <x:v>Transportation and material moving occupations</x:v>
      </x:c>
      <x:c r="C859" s="32" t="str">
        <x:v>53-7072.00</x:v>
      </x:c>
      <x:c r="D859" s="32" t="str">
        <x:v>Pump Operators, Except Wellhead Pumpers</x:v>
      </x:c>
      <x:c r="E859" s="1" t="str">
        <x:v>Include</x:v>
      </x:c>
      <x:c r="F859" s="1" t="str">
        <x:v>Yes</x:v>
      </x:c>
      <x:c r="G859" s="1" t="str">
        <x:v>6/6</x:v>
      </x:c>
      <x:c r="H859" s="36" t="n">
        <x:v>2.33</x:v>
      </x:c>
      <x:c r="I859" s="36" t="n">
        <x:v>3.17</x:v>
      </x:c>
      <x:c r="J859" s="36" t="n">
        <x:v>2.33</x:v>
      </x:c>
      <x:c r="K859" s="36" t="n">
        <x:v>3.67</x:v>
      </x:c>
      <x:c r="L859" s="36" t="n">
        <x:v>5.67</x:v>
      </x:c>
      <x:c r="M859" s="36" t="n">
        <x:v>3.67</x:v>
      </x:c>
      <x:c r="N859" s="32" t="str">
        <x:v>Tend, control, or operate power-driven, stationary, or portable pumps and manifold systems to transfer gases, oil, other liquids, slurries, or powdered materials to and from various vessels and processes.</x:v>
      </x:c>
      <x:c r="O859" s="32" t="str">
        <x:v>https://www.onetonline.org/link/summary/53-7072.00</x:v>
      </x:c>
      <x:c r="P859" s="32" t="str">
        <x:v>SOC53 transportation and material-moving occupations.</x:v>
      </x:c>
    </x:row>
    <x:row r="860" ht="37.5" customHeight="1">
      <x:c r="A860" s="1" t="str">
        <x:v>784050</x:v>
      </x:c>
      <x:c r="B860" s="32" t="str">
        <x:v>Transportation and material moving occupations</x:v>
      </x:c>
      <x:c r="C860" s="32" t="str">
        <x:v>53-7073.00</x:v>
      </x:c>
      <x:c r="D860" s="32" t="str">
        <x:v>Wellhead Pumpers</x:v>
      </x:c>
      <x:c r="E860" s="1" t="str">
        <x:v>Include</x:v>
      </x:c>
      <x:c r="F860" s="1" t="str">
        <x:v>Yes</x:v>
      </x:c>
      <x:c r="G860" s="1" t="str">
        <x:v>6/6</x:v>
      </x:c>
      <x:c r="H860" s="36" t="n">
        <x:v>2.33</x:v>
      </x:c>
      <x:c r="I860" s="36" t="n">
        <x:v>3.17</x:v>
      </x:c>
      <x:c r="J860" s="36" t="n">
        <x:v>2.33</x:v>
      </x:c>
      <x:c r="K860" s="36" t="n">
        <x:v>4.33</x:v>
      </x:c>
      <x:c r="L860" s="36" t="n">
        <x:v>5.67</x:v>
      </x:c>
      <x:c r="M860" s="36" t="n">
        <x:v>3</x:v>
      </x:c>
      <x:c r="N860" s="32" t="str">
        <x:v>Operate power pumps and auxiliary equipment to produce flow of oil or gas from wells in oil field.</x:v>
      </x:c>
      <x:c r="O860" s="32" t="str">
        <x:v>https://www.onetonline.org/link/summary/53-7073.00</x:v>
      </x:c>
      <x:c r="P860" s="32" t="str">
        <x:v>SOC53 transportation and material-moving occupations.</x:v>
      </x:c>
    </x:row>
    <x:row r="861" ht="37.5" customHeight="1">
      <x:c r="A861" s="1" t="str">
        <x:v>784050</x:v>
      </x:c>
      <x:c r="B861" s="32" t="str">
        <x:v>Transportation and material moving occupations</x:v>
      </x:c>
      <x:c r="C861" s="32" t="str">
        <x:v>53-7081.00</x:v>
      </x:c>
      <x:c r="D861" s="32" t="str">
        <x:v>Refuse and Recyclable Material Collectors</x:v>
      </x:c>
      <x:c r="E861" s="1" t="str">
        <x:v>Include</x:v>
      </x:c>
      <x:c r="F861" s="1" t="str">
        <x:v>Yes</x:v>
      </x:c>
      <x:c r="G861" s="1" t="str">
        <x:v>6/6</x:v>
      </x:c>
      <x:c r="H861" s="36" t="n">
        <x:v>2</x:v>
      </x:c>
      <x:c r="I861" s="36" t="n">
        <x:v>2.83</x:v>
      </x:c>
      <x:c r="J861" s="36" t="n">
        <x:v>1.33</x:v>
      </x:c>
      <x:c r="K861" s="36" t="n">
        <x:v>4</x:v>
      </x:c>
      <x:c r="L861" s="36" t="n">
        <x:v>4.33</x:v>
      </x:c>
      <x:c r="M861" s="36" t="n">
        <x:v>2.33</x:v>
      </x:c>
      <x:c r="N861" s="32" t="str">
        <x:v>Collect and dump refuse or recyclable materials from containers into truck. May drive truck.</x:v>
      </x:c>
      <x:c r="O861" s="32" t="str">
        <x:v>https://www.onetonline.org/link/summary/53-7081.00</x:v>
      </x:c>
      <x:c r="P861" s="32" t="str">
        <x:v>SOC53 transportation and material-moving occupations.</x:v>
      </x:c>
    </x:row>
    <x:row r="862" ht="37.5" customHeight="1">
      <x:c r="A862" s="1" t="str">
        <x:v>784050</x:v>
      </x:c>
      <x:c r="B862" s="32" t="str">
        <x:v>Transportation and material moving occupations</x:v>
      </x:c>
      <x:c r="C862" s="32" t="str">
        <x:v>53-7121.00</x:v>
      </x:c>
      <x:c r="D862" s="32" t="str">
        <x:v>Tank Car, Truck, and Ship Loaders</x:v>
      </x:c>
      <x:c r="E862" s="1" t="str">
        <x:v>Include</x:v>
      </x:c>
      <x:c r="F862" s="1" t="str">
        <x:v>Yes</x:v>
      </x:c>
      <x:c r="G862" s="1" t="str">
        <x:v>6/6</x:v>
      </x:c>
      <x:c r="H862" s="36" t="n">
        <x:v>2.67</x:v>
      </x:c>
      <x:c r="I862" s="36" t="n">
        <x:v>3</x:v>
      </x:c>
      <x:c r="J862" s="36" t="n">
        <x:v>2.33</x:v>
      </x:c>
      <x:c r="K862" s="36" t="n">
        <x:v>4.67</x:v>
      </x:c>
      <x:c r="L862" s="36" t="n">
        <x:v>6</x:v>
      </x:c>
      <x:c r="M862" s="36" t="n">
        <x:v>5</x:v>
      </x:c>
      <x:c r="N862" s="32" t="str">
        <x:v>Load and unload chemicals and bulk solids, such as coal, sand, and grain, into or from tank cars, trucks, or ships, using material moving equipment. May perform a variety of other tasks relating to shipment of products. May gauge or sample shipping tanks and test them for leaks.</x:v>
      </x:c>
      <x:c r="O862" s="32" t="str">
        <x:v>https://www.onetonline.org/link/summary/53-7121.00</x:v>
      </x:c>
      <x:c r="P862" s="32" t="str">
        <x:v>SOC53 transportation and material-moving occupations.</x:v>
      </x:c>
    </x:row>
    <x:row r="863" ht="37.5" customHeight="1">
      <x:c r="A863" s="1" t="str">
        <x:v>784050</x:v>
      </x:c>
      <x:c r="B863" s="32" t="str">
        <x:v>Transportation and material moving occupations</x:v>
      </x:c>
      <x:c r="C863" s="32" t="str">
        <x:v>53-7199.00</x:v>
      </x:c>
      <x:c r="D863" s="32" t="str">
        <x:v>Material Moving Workers, All Other</x:v>
      </x:c>
      <x:c r="E863" s="1" t="str">
        <x:v>Exclude (no Work Values)</x:v>
      </x:c>
      <x:c r="F863" s="1" t="str">
        <x:v>Yes</x:v>
      </x:c>
      <x:c r="G863" s="1" t="str">
        <x:v>0/6</x:v>
      </x:c>
      <x:c r="H863" s="36"/>
      <x:c r="I863" s="36"/>
      <x:c r="J863" s="36"/>
      <x:c r="K863" s="36"/>
      <x:c r="L863" s="36"/>
      <x:c r="M863" s="36"/>
      <x:c r="N863" s="32" t="str">
        <x:v>All material moving workers not listed separately.</x:v>
      </x:c>
      <x:c r="O863" s="32" t="str">
        <x:v>https://www.onetonline.org/link/summary/53-7199.00</x:v>
      </x:c>
      <x:c r="P863" s="32" t="str">
        <x:v>SOC53 transportation and material-moving occupations.</x:v>
      </x:c>
    </x:row>
  </x:sheetData>
  <x:conditionalFormatting sqref="G6:G855">
    <x:cfRule type="cellIs" dxfId="4" priority="1" operator="notEqual">
      <x:formula>"6/6"</x:formula>
    </x:cfRule>
  </x:conditionalFormatting>
  <x:pageMargins left="0.7" right="0.7" top="0.75" bottom="0.75" header="0.3" footer="0.3"/>
  <x:tableParts count="1">
    <x:tablePart xmlns:r="http://schemas.openxmlformats.org/officeDocument/2006/relationships" r:id="R94e24df967bd4c61"/>
  </x:tableParts>
</x:worksheet>
</file>

<file path=xl/worksheets/sheet3.xml><?xml version="1.0" encoding="utf-8"?>
<x:worksheet xmlns:x="http://schemas.openxmlformats.org/spreadsheetml/2006/main">
  <x:sheetPr>
    <x:tabColor rgb="FF263A55"/>
  </x:sheetPr>
  <x:sheetViews>
    <x:sheetView showGridLines="0" workbookViewId="0">
      <x:pane xSplit="2" ySplit="5" topLeftCell="C6" activePane="bottomRight" state="frozen"/>
    </x:sheetView>
  </x:sheetViews>
  <x:sheetFormatPr defaultRowHeight="15"/>
  <x:cols>
    <x:col min="1" max="1" width="10" hidden="0" customWidth="1"/>
    <x:col min="2" max="2" width="44.439998626708984" hidden="0" customWidth="1"/>
    <x:col min="3" max="3" width="9.4399995803833" hidden="0" customWidth="1"/>
    <x:col min="4" max="4" width="16.670000076293945" hidden="0" customWidth="1"/>
    <x:col min="5" max="5" width="12.779999732971191" hidden="0" customWidth="1"/>
    <x:col min="6" max="6" width="11.109999656677246" hidden="0" customWidth="1"/>
    <x:col min="7" max="7" width="13.890000343322754" hidden="0" customWidth="1"/>
    <x:col min="8" max="8" width="13.890000343322754" hidden="0" customWidth="1"/>
    <x:col min="9" max="9" width="13.890000343322754" hidden="0" customWidth="1"/>
    <x:col min="10" max="10" width="13.890000343322754" hidden="0" customWidth="1"/>
    <x:col min="11" max="11" width="13.890000343322754" hidden="0" customWidth="1"/>
    <x:col min="12" max="12" width="13.890000343322754" hidden="0" customWidth="1"/>
    <x:col min="13" max="13" width="13.890000343322754" hidden="0" customWidth="1"/>
    <x:col min="14" max="14" width="13.890000343322754" hidden="0" customWidth="1"/>
    <x:col min="15" max="15" width="13.890000343322754" hidden="0" customWidth="1"/>
    <x:col min="16" max="16" width="13.890000343322754" hidden="0" customWidth="1"/>
    <x:col min="17" max="17" width="13.890000343322754" hidden="0" customWidth="1"/>
    <x:col min="18" max="18" width="13.890000343322754" hidden="0" customWidth="1"/>
    <x:col min="19" max="19" width="12.220000267028809" hidden="0" customWidth="1"/>
    <x:col min="20" max="20" width="22.219999313354492" hidden="0" customWidth="1"/>
  </x:cols>
  <x:sheetData>
    <x:row r="1">
      <x:c r="A1" s="2"/>
      <x:c r="B1" s="2"/>
      <x:c r="C1" s="2"/>
      <x:c r="D1" s="2"/>
      <x:c r="E1" s="2"/>
      <x:c r="F1" s="2"/>
      <x:c r="G1" s="2"/>
      <x:c r="H1" s="2"/>
      <x:c r="I1" s="2"/>
      <x:c r="J1" s="2"/>
      <x:c r="K1" s="2"/>
      <x:c r="L1" s="2"/>
      <x:c r="M1" s="2"/>
      <x:c r="N1" s="2"/>
      <x:c r="O1" s="2"/>
      <x:c r="P1" s="2"/>
      <x:c r="Q1" s="2"/>
      <x:c r="R1" s="2"/>
    </x:row>
    <x:row r="2" ht="22.5" customHeight="1">
      <x:c r="A2" s="2"/>
      <x:c r="B2" s="3" t="str">
        <x:v>Occupation group profiles</x:v>
      </x:c>
      <x:c r="C2" s="2"/>
      <x:c r="D2" s="2"/>
      <x:c r="E2" s="2"/>
      <x:c r="F2" s="2"/>
      <x:c r="G2" s="2"/>
      <x:c r="H2" s="2"/>
      <x:c r="I2" s="2"/>
      <x:c r="J2" s="2"/>
      <x:c r="K2" s="2"/>
      <x:c r="L2" s="2"/>
      <x:c r="M2" s="2"/>
      <x:c r="N2" s="2"/>
      <x:c r="O2" s="2"/>
      <x:c r="P2" s="2"/>
      <x:c r="Q2" s="2"/>
      <x:c r="R2" s="2"/>
    </x:row>
    <x:row r="3">
      <x:c r="A3" s="2"/>
      <x:c r="B3" s="7" t="str">
        <x:v>123 category profiles used for 74,016 respondents.</x:v>
      </x:c>
      <x:c r="C3" s="2"/>
      <x:c r="D3" s="2"/>
      <x:c r="E3" s="2"/>
      <x:c r="F3" s="2"/>
      <x:c r="G3" s="2"/>
      <x:c r="H3" s="2"/>
      <x:c r="I3" s="2"/>
      <x:c r="J3" s="2"/>
      <x:c r="K3" s="2"/>
      <x:c r="L3" s="2"/>
      <x:c r="M3" s="2"/>
      <x:c r="N3" s="2"/>
      <x:c r="O3" s="2"/>
      <x:c r="P3" s="2"/>
      <x:c r="Q3" s="2"/>
      <x:c r="R3" s="2"/>
    </x:row>
    <x:row r="4">
      <x:c r="A4" s="2"/>
      <x:c r="B4" s="7" t="str">
        <x:v>Ranges cover rated members only; a one-member range does not capture missing-member uncertainty.</x:v>
      </x:c>
      <x:c r="C4" s="2"/>
      <x:c r="D4" s="2"/>
      <x:c r="E4" s="2"/>
      <x:c r="F4" s="2"/>
      <x:c r="G4" s="2"/>
      <x:c r="H4" s="2"/>
      <x:c r="I4" s="2"/>
      <x:c r="J4" s="2"/>
      <x:c r="K4" s="2"/>
      <x:c r="L4" s="2"/>
      <x:c r="M4" s="2"/>
      <x:c r="N4" s="2"/>
      <x:c r="O4" s="2"/>
      <x:c r="P4" s="2"/>
      <x:c r="Q4" s="2"/>
      <x:c r="R4" s="2"/>
    </x:row>
    <x:row r="5" ht="31.5" customHeight="1">
      <x:c r="A5" s="50" t="str">
        <x:v>NSCG code</x:v>
      </x:c>
      <x:c r="B5" s="50" t="str">
        <x:v>NSCG occupation</x:v>
      </x:c>
      <x:c r="C5" s="50" t="str">
        <x:v>People</x:v>
      </x:c>
      <x:c r="D5" s="50" t="str">
        <x:v>Profile method</x:v>
      </x:c>
      <x:c r="E5" s="50" t="str">
        <x:v>Rated / candidates</x:v>
      </x:c>
      <x:c r="F5" s="50" t="str">
        <x:v>Rating coverage (%)</x:v>
      </x:c>
      <x:c r="G5" s="50" t="str">
        <x:v>Achievement</x:v>
      </x:c>
      <x:c r="H5" s="50" t="str">
        <x:v>Working Conditions</x:v>
      </x:c>
      <x:c r="I5" s="50" t="str">
        <x:v>Recognition</x:v>
      </x:c>
      <x:c r="J5" s="50" t="str">
        <x:v>Relationships</x:v>
      </x:c>
      <x:c r="K5" s="50" t="str">
        <x:v>Support</x:v>
      </x:c>
      <x:c r="L5" s="50" t="str">
        <x:v>Independence</x:v>
      </x:c>
      <x:c r="M5" s="50" t="str">
        <x:v>Achievement range</x:v>
      </x:c>
      <x:c r="N5" s="50" t="str">
        <x:v>Working Conditions range</x:v>
      </x:c>
      <x:c r="O5" s="50" t="str">
        <x:v>Recognition range</x:v>
      </x:c>
      <x:c r="P5" s="50" t="str">
        <x:v>Relationships range</x:v>
      </x:c>
      <x:c r="Q5" s="50" t="str">
        <x:v>Support range</x:v>
      </x:c>
      <x:c r="R5" s="50" t="str">
        <x:v>Independence range</x:v>
      </x:c>
      <x:c r="S5" s="50" t="str">
        <x:v>Rating coverage</x:v>
      </x:c>
      <x:c r="T5" s="50" t="str">
        <x:v>Mapping assumption</x:v>
      </x:c>
    </x:row>
    <x:row r="6" ht="34.5" customHeight="1">
      <x:c r="A6" s="15" t="str">
        <x:v>110510</x:v>
      </x:c>
      <x:c r="B6" s="12" t="str">
        <x:v>Computer and information research scientists</x:v>
      </x:c>
      <x:c r="C6" s="14" t="n">
        <x:v>407</x:v>
      </x:c>
      <x:c r="D6" s="54" t="str">
        <x:v>Single occupation</x:v>
      </x:c>
      <x:c r="E6" s="55" t="str">
        <x:v>1/1</x:v>
      </x:c>
      <x:c r="F6" s="56" t="n">
        <x:v>1</x:v>
      </x:c>
      <x:c r="G6" s="18" t="n">
        <x:f>AVERAGE('ONET candidates'!H6)</x:f>
        <x:v>5.67</x:v>
      </x:c>
      <x:c r="H6" s="18" t="n">
        <x:f>AVERAGE('ONET candidates'!I6)</x:f>
        <x:v>5.67</x:v>
      </x:c>
      <x:c r="I6" s="18" t="n">
        <x:f>AVERAGE('ONET candidates'!J6)</x:f>
        <x:v>5.33</x:v>
      </x:c>
      <x:c r="J6" s="18" t="n">
        <x:f>AVERAGE('ONET candidates'!K6)</x:f>
        <x:v>3.67</x:v>
      </x:c>
      <x:c r="K6" s="18" t="n">
        <x:f>AVERAGE('ONET candidates'!L6)</x:f>
        <x:v>4.67</x:v>
      </x:c>
      <x:c r="L6" s="18" t="n">
        <x:f>AVERAGE('ONET candidates'!M6)</x:f>
        <x:v>5.33</x:v>
      </x:c>
      <x:c r="M6" s="2" t="str">
        <x:v>5.67–5.67</x:v>
      </x:c>
      <x:c r="N6" s="2" t="str">
        <x:v>5.67–5.67</x:v>
      </x:c>
      <x:c r="O6" s="2" t="str">
        <x:v>5.33–5.33</x:v>
      </x:c>
      <x:c r="P6" s="2" t="str">
        <x:v>3.67–3.67</x:v>
      </x:c>
      <x:c r="Q6" s="2" t="str">
        <x:v>4.67–4.67</x:v>
      </x:c>
      <x:c r="R6" s="2" t="str">
        <x:v>5.33–5.33</x:v>
      </x:c>
      <x:c r="S6" s="32" t="str">
        <x:v>full</x:v>
      </x:c>
      <x:c r="T6" s="32" t="str">
        <x:v>None</x:v>
      </x:c>
    </x:row>
    <x:row r="7" ht="34.5" customHeight="1">
      <x:c r="A7" s="15" t="str">
        <x:v>110520</x:v>
      </x:c>
      <x:c r="B7" s="12" t="str">
        <x:v>Computer network architects</x:v>
      </x:c>
      <x:c r="C7" s="14" t="n">
        <x:v>133</x:v>
      </x:c>
      <x:c r="D7" s="54" t="str">
        <x:v>Single occupation</x:v>
      </x:c>
      <x:c r="E7" s="55" t="str">
        <x:v>1/1</x:v>
      </x:c>
      <x:c r="F7" s="56" t="n">
        <x:v>1</x:v>
      </x:c>
      <x:c r="G7" s="18" t="n">
        <x:f>AVERAGE('ONET candidates'!H7)</x:f>
        <x:v>6</x:v>
      </x:c>
      <x:c r="H7" s="18" t="n">
        <x:f>AVERAGE('ONET candidates'!I7)</x:f>
        <x:v>5.33</x:v>
      </x:c>
      <x:c r="I7" s="18" t="n">
        <x:f>AVERAGE('ONET candidates'!J7)</x:f>
        <x:v>4.33</x:v>
      </x:c>
      <x:c r="J7" s="18" t="n">
        <x:f>AVERAGE('ONET candidates'!K7)</x:f>
        <x:v>2.67</x:v>
      </x:c>
      <x:c r="K7" s="18" t="n">
        <x:f>AVERAGE('ONET candidates'!L7)</x:f>
        <x:v>4.33</x:v>
      </x:c>
      <x:c r="L7" s="18" t="n">
        <x:f>AVERAGE('ONET candidates'!M7)</x:f>
        <x:v>5.33</x:v>
      </x:c>
      <x:c r="M7" s="2" t="str">
        <x:v>6.00–6.00</x:v>
      </x:c>
      <x:c r="N7" s="2" t="str">
        <x:v>5.33–5.33</x:v>
      </x:c>
      <x:c r="O7" s="2" t="str">
        <x:v>4.33–4.33</x:v>
      </x:c>
      <x:c r="P7" s="2" t="str">
        <x:v>2.67–2.67</x:v>
      </x:c>
      <x:c r="Q7" s="2" t="str">
        <x:v>4.33–4.33</x:v>
      </x:c>
      <x:c r="R7" s="2" t="str">
        <x:v>5.33–5.33</x:v>
      </x:c>
      <x:c r="S7" s="32" t="str">
        <x:v>full</x:v>
      </x:c>
      <x:c r="T7" s="32" t="str">
        <x:v>None</x:v>
      </x:c>
    </x:row>
    <x:row r="8" ht="34.5" customHeight="1">
      <x:c r="A8" s="15" t="str">
        <x:v>110540</x:v>
      </x:c>
      <x:c r="B8" s="12" t="str">
        <x:v>Computer support specialists</x:v>
      </x:c>
      <x:c r="C8" s="14" t="n">
        <x:v>599</x:v>
      </x:c>
      <x:c r="D8" s="54" t="str">
        <x:v>Occupation mean</x:v>
      </x:c>
      <x:c r="E8" s="55" t="str">
        <x:v>2/2</x:v>
      </x:c>
      <x:c r="F8" s="56" t="n">
        <x:v>1</x:v>
      </x:c>
      <x:c r="G8" s="18" t="n">
        <x:f>AVERAGE('ONET candidates'!H8,'ONET candidates'!H9)</x:f>
        <x:v>5.165</x:v>
      </x:c>
      <x:c r="H8" s="18" t="n">
        <x:f>AVERAGE('ONET candidates'!I8,'ONET candidates'!I9)</x:f>
        <x:v>4.92</x:v>
      </x:c>
      <x:c r="I8" s="18" t="n">
        <x:f>AVERAGE('ONET candidates'!J8,'ONET candidates'!J9)</x:f>
        <x:v>4.165</x:v>
      </x:c>
      <x:c r="J8" s="18" t="n">
        <x:f>AVERAGE('ONET candidates'!K8,'ONET candidates'!K9)</x:f>
        <x:v>4.165</x:v>
      </x:c>
      <x:c r="K8" s="18" t="n">
        <x:f>AVERAGE('ONET candidates'!L8,'ONET candidates'!L9)</x:f>
        <x:v>5</x:v>
      </x:c>
      <x:c r="L8" s="18" t="n">
        <x:f>AVERAGE('ONET candidates'!M8,'ONET candidates'!M9)</x:f>
        <x:v>4.5</x:v>
      </x:c>
      <x:c r="M8" s="2" t="str">
        <x:v>5.00–5.33</x:v>
      </x:c>
      <x:c r="N8" s="2" t="str">
        <x:v>4.67–5.17</x:v>
      </x:c>
      <x:c r="O8" s="2" t="str">
        <x:v>4.00–4.33</x:v>
      </x:c>
      <x:c r="P8" s="2" t="str">
        <x:v>3.00–5.33</x:v>
      </x:c>
      <x:c r="Q8" s="2" t="str">
        <x:v>5.00–5.00</x:v>
      </x:c>
      <x:c r="R8" s="2" t="str">
        <x:v>4.00–5.00</x:v>
      </x:c>
      <x:c r="S8" s="32" t="str">
        <x:v>full</x:v>
      </x:c>
      <x:c r="T8" s="32" t="str">
        <x:v>None</x:v>
      </x:c>
    </x:row>
    <x:row r="9" ht="34.5" customHeight="1">
      <x:c r="A9" s="15" t="str">
        <x:v>110550</x:v>
      </x:c>
      <x:c r="B9" s="12" t="str">
        <x:v>Computer system analysts</x:v>
      </x:c>
      <x:c r="C9" s="14" t="n">
        <x:v>938</x:v>
      </x:c>
      <x:c r="D9" s="54" t="str">
        <x:v>Single occupation</x:v>
      </x:c>
      <x:c r="E9" s="55" t="str">
        <x:v>1/1</x:v>
      </x:c>
      <x:c r="F9" s="56" t="n">
        <x:v>1</x:v>
      </x:c>
      <x:c r="G9" s="18" t="n">
        <x:f>AVERAGE('ONET candidates'!H10)</x:f>
        <x:v>5</x:v>
      </x:c>
      <x:c r="H9" s="18" t="n">
        <x:f>AVERAGE('ONET candidates'!I10)</x:f>
        <x:v>5.17</x:v>
      </x:c>
      <x:c r="I9" s="18" t="n">
        <x:f>AVERAGE('ONET candidates'!J10)</x:f>
        <x:v>5</x:v>
      </x:c>
      <x:c r="J9" s="18" t="n">
        <x:f>AVERAGE('ONET candidates'!K10)</x:f>
        <x:v>3.67</x:v>
      </x:c>
      <x:c r="K9" s="18" t="n">
        <x:f>AVERAGE('ONET candidates'!L10)</x:f>
        <x:v>4.33</x:v>
      </x:c>
      <x:c r="L9" s="18" t="n">
        <x:f>AVERAGE('ONET candidates'!M10)</x:f>
        <x:v>5</x:v>
      </x:c>
      <x:c r="M9" s="2" t="str">
        <x:v>5.00–5.00</x:v>
      </x:c>
      <x:c r="N9" s="2" t="str">
        <x:v>5.17–5.17</x:v>
      </x:c>
      <x:c r="O9" s="2" t="str">
        <x:v>5.00–5.00</x:v>
      </x:c>
      <x:c r="P9" s="2" t="str">
        <x:v>3.67–3.67</x:v>
      </x:c>
      <x:c r="Q9" s="2" t="str">
        <x:v>4.33–4.33</x:v>
      </x:c>
      <x:c r="R9" s="2" t="str">
        <x:v>5.00–5.00</x:v>
      </x:c>
      <x:c r="S9" s="32" t="str">
        <x:v>full</x:v>
      </x:c>
      <x:c r="T9" s="32" t="str">
        <x:v>None</x:v>
      </x:c>
    </x:row>
    <x:row r="10" ht="34.5" customHeight="1">
      <x:c r="A10" s="15" t="str">
        <x:v>110560</x:v>
      </x:c>
      <x:c r="B10" s="12" t="str">
        <x:v>Database administrators</x:v>
      </x:c>
      <x:c r="C10" s="14" t="n">
        <x:v>312</x:v>
      </x:c>
      <x:c r="D10" s="54" t="str">
        <x:v>Single occupation</x:v>
      </x:c>
      <x:c r="E10" s="55" t="str">
        <x:v>1/1</x:v>
      </x:c>
      <x:c r="F10" s="56" t="n">
        <x:v>1</x:v>
      </x:c>
      <x:c r="G10" s="18" t="n">
        <x:f>AVERAGE('ONET candidates'!H11)</x:f>
        <x:v>4.67</x:v>
      </x:c>
      <x:c r="H10" s="18" t="n">
        <x:f>AVERAGE('ONET candidates'!I11)</x:f>
        <x:v>5</x:v>
      </x:c>
      <x:c r="I10" s="18" t="n">
        <x:f>AVERAGE('ONET candidates'!J11)</x:f>
        <x:v>4.33</x:v>
      </x:c>
      <x:c r="J10" s="18" t="n">
        <x:f>AVERAGE('ONET candidates'!K11)</x:f>
        <x:v>3.67</x:v>
      </x:c>
      <x:c r="K10" s="18" t="n">
        <x:f>AVERAGE('ONET candidates'!L11)</x:f>
        <x:v>5</x:v>
      </x:c>
      <x:c r="L10" s="18" t="n">
        <x:f>AVERAGE('ONET candidates'!M11)</x:f>
        <x:v>3.33</x:v>
      </x:c>
      <x:c r="M10" s="2" t="str">
        <x:v>4.67–4.67</x:v>
      </x:c>
      <x:c r="N10" s="2" t="str">
        <x:v>5.00–5.00</x:v>
      </x:c>
      <x:c r="O10" s="2" t="str">
        <x:v>4.33–4.33</x:v>
      </x:c>
      <x:c r="P10" s="2" t="str">
        <x:v>3.67–3.67</x:v>
      </x:c>
      <x:c r="Q10" s="2" t="str">
        <x:v>5.00–5.00</x:v>
      </x:c>
      <x:c r="R10" s="2" t="str">
        <x:v>3.33–3.33</x:v>
      </x:c>
      <x:c r="S10" s="32" t="str">
        <x:v>full</x:v>
      </x:c>
      <x:c r="T10" s="32" t="str">
        <x:v>None</x:v>
      </x:c>
    </x:row>
    <x:row r="11" ht="34.5" customHeight="1">
      <x:c r="A11" s="15" t="str">
        <x:v>110570</x:v>
      </x:c>
      <x:c r="B11" s="12" t="str">
        <x:v>Information security analysts</x:v>
      </x:c>
      <x:c r="C11" s="14" t="n">
        <x:v>361</x:v>
      </x:c>
      <x:c r="D11" s="54" t="str">
        <x:v>Single occupation</x:v>
      </x:c>
      <x:c r="E11" s="55" t="str">
        <x:v>1/1</x:v>
      </x:c>
      <x:c r="F11" s="56" t="n">
        <x:v>1</x:v>
      </x:c>
      <x:c r="G11" s="18" t="n">
        <x:f>AVERAGE('ONET candidates'!H12)</x:f>
        <x:v>4.67</x:v>
      </x:c>
      <x:c r="H11" s="18" t="n">
        <x:f>AVERAGE('ONET candidates'!I12)</x:f>
        <x:v>5.67</x:v>
      </x:c>
      <x:c r="I11" s="18" t="n">
        <x:f>AVERAGE('ONET candidates'!J12)</x:f>
        <x:v>4.33</x:v>
      </x:c>
      <x:c r="J11" s="18" t="n">
        <x:f>AVERAGE('ONET candidates'!K12)</x:f>
        <x:v>4.33</x:v>
      </x:c>
      <x:c r="K11" s="18" t="n">
        <x:f>AVERAGE('ONET candidates'!L12)</x:f>
        <x:v>5.33</x:v>
      </x:c>
      <x:c r="L11" s="18" t="n">
        <x:f>AVERAGE('ONET candidates'!M12)</x:f>
        <x:v>5.33</x:v>
      </x:c>
      <x:c r="M11" s="2" t="str">
        <x:v>4.67–4.67</x:v>
      </x:c>
      <x:c r="N11" s="2" t="str">
        <x:v>5.67–5.67</x:v>
      </x:c>
      <x:c r="O11" s="2" t="str">
        <x:v>4.33–4.33</x:v>
      </x:c>
      <x:c r="P11" s="2" t="str">
        <x:v>4.33–4.33</x:v>
      </x:c>
      <x:c r="Q11" s="2" t="str">
        <x:v>5.33–5.33</x:v>
      </x:c>
      <x:c r="R11" s="2" t="str">
        <x:v>5.33–5.33</x:v>
      </x:c>
      <x:c r="S11" s="32" t="str">
        <x:v>full</x:v>
      </x:c>
      <x:c r="T11" s="32" t="str">
        <x:v>None</x:v>
      </x:c>
    </x:row>
    <x:row r="12" ht="34.5" customHeight="1">
      <x:c r="A12" s="15" t="str">
        <x:v>110580</x:v>
      </x:c>
      <x:c r="B12" s="12" t="str">
        <x:v>Network and computer systems administrators</x:v>
      </x:c>
      <x:c r="C12" s="14" t="n">
        <x:v>415</x:v>
      </x:c>
      <x:c r="D12" s="54" t="str">
        <x:v>Single occupation</x:v>
      </x:c>
      <x:c r="E12" s="55" t="str">
        <x:v>1/1</x:v>
      </x:c>
      <x:c r="F12" s="56" t="n">
        <x:v>1</x:v>
      </x:c>
      <x:c r="G12" s="18" t="n">
        <x:f>AVERAGE('ONET candidates'!H13)</x:f>
        <x:v>4.67</x:v>
      </x:c>
      <x:c r="H12" s="18" t="n">
        <x:f>AVERAGE('ONET candidates'!I13)</x:f>
        <x:v>5.5</x:v>
      </x:c>
      <x:c r="I12" s="18" t="n">
        <x:f>AVERAGE('ONET candidates'!J13)</x:f>
        <x:v>4.67</x:v>
      </x:c>
      <x:c r="J12" s="18" t="n">
        <x:f>AVERAGE('ONET candidates'!K13)</x:f>
        <x:v>4</x:v>
      </x:c>
      <x:c r="K12" s="18" t="n">
        <x:f>AVERAGE('ONET candidates'!L13)</x:f>
        <x:v>5.33</x:v>
      </x:c>
      <x:c r="L12" s="18" t="n">
        <x:f>AVERAGE('ONET candidates'!M13)</x:f>
        <x:v>4.33</x:v>
      </x:c>
      <x:c r="M12" s="2" t="str">
        <x:v>4.67–4.67</x:v>
      </x:c>
      <x:c r="N12" s="2" t="str">
        <x:v>5.50–5.50</x:v>
      </x:c>
      <x:c r="O12" s="2" t="str">
        <x:v>4.67–4.67</x:v>
      </x:c>
      <x:c r="P12" s="2" t="str">
        <x:v>4.00–4.00</x:v>
      </x:c>
      <x:c r="Q12" s="2" t="str">
        <x:v>5.33–5.33</x:v>
      </x:c>
      <x:c r="R12" s="2" t="str">
        <x:v>4.33–4.33</x:v>
      </x:c>
      <x:c r="S12" s="32" t="str">
        <x:v>full</x:v>
      </x:c>
      <x:c r="T12" s="32" t="str">
        <x:v>None</x:v>
      </x:c>
    </x:row>
    <x:row r="13" ht="34.5" customHeight="1">
      <x:c r="A13" s="15" t="str">
        <x:v>110600</x:v>
      </x:c>
      <x:c r="B13" s="12" t="str">
        <x:v>Web developers</x:v>
      </x:c>
      <x:c r="C13" s="14" t="n">
        <x:v>325</x:v>
      </x:c>
      <x:c r="D13" s="54" t="str">
        <x:v>Single occupation</x:v>
      </x:c>
      <x:c r="E13" s="55" t="str">
        <x:v>1/1</x:v>
      </x:c>
      <x:c r="F13" s="56" t="n">
        <x:v>1</x:v>
      </x:c>
      <x:c r="G13" s="18" t="n">
        <x:f>AVERAGE('ONET candidates'!H15)</x:f>
        <x:v>5</x:v>
      </x:c>
      <x:c r="H13" s="18" t="n">
        <x:f>AVERAGE('ONET candidates'!I15)</x:f>
        <x:v>5.33</x:v>
      </x:c>
      <x:c r="I13" s="18" t="n">
        <x:f>AVERAGE('ONET candidates'!J15)</x:f>
        <x:v>5</x:v>
      </x:c>
      <x:c r="J13" s="18" t="n">
        <x:f>AVERAGE('ONET candidates'!K15)</x:f>
        <x:v>4</x:v>
      </x:c>
      <x:c r="K13" s="18" t="n">
        <x:f>AVERAGE('ONET candidates'!L15)</x:f>
        <x:v>4.33</x:v>
      </x:c>
      <x:c r="L13" s="18" t="n">
        <x:f>AVERAGE('ONET candidates'!M15)</x:f>
        <x:v>5.67</x:v>
      </x:c>
      <x:c r="M13" s="2" t="str">
        <x:v>5.00–5.00</x:v>
      </x:c>
      <x:c r="N13" s="2" t="str">
        <x:v>5.33–5.33</x:v>
      </x:c>
      <x:c r="O13" s="2" t="str">
        <x:v>5.00–5.00</x:v>
      </x:c>
      <x:c r="P13" s="2" t="str">
        <x:v>4.00–4.00</x:v>
      </x:c>
      <x:c r="Q13" s="2" t="str">
        <x:v>4.33–4.33</x:v>
      </x:c>
      <x:c r="R13" s="2" t="str">
        <x:v>5.67–5.67</x:v>
      </x:c>
      <x:c r="S13" s="32" t="str">
        <x:v>full</x:v>
      </x:c>
      <x:c r="T13" s="32" t="str">
        <x:v>None</x:v>
      </x:c>
    </x:row>
    <x:row r="14" ht="34.5" customHeight="1">
      <x:c r="A14" s="15" t="str">
        <x:v>110610</x:v>
      </x:c>
      <x:c r="B14" s="12" t="str">
        <x:v>Other computer and information science occupations</x:v>
      </x:c>
      <x:c r="C14" s="14" t="n">
        <x:v>1162</x:v>
      </x:c>
      <x:c r="D14" s="54" t="str">
        <x:v>Occupation mean</x:v>
      </x:c>
      <x:c r="E14" s="60" t="str">
        <x:v>2/4</x:v>
      </x:c>
      <x:c r="F14" s="61" t="n">
        <x:v>0.5</x:v>
      </x:c>
      <x:c r="G14" s="18" t="n">
        <x:f>AVERAGE('ONET candidates'!H16,'ONET candidates'!H17)</x:f>
        <x:v>5.5</x:v>
      </x:c>
      <x:c r="H14" s="18" t="n">
        <x:f>AVERAGE('ONET candidates'!I16,'ONET candidates'!I17)</x:f>
        <x:v>5.165</x:v>
      </x:c>
      <x:c r="I14" s="18" t="n">
        <x:f>AVERAGE('ONET candidates'!J16,'ONET candidates'!J17)</x:f>
        <x:v>4.5</x:v>
      </x:c>
      <x:c r="J14" s="18" t="n">
        <x:f>AVERAGE('ONET candidates'!K16,'ONET candidates'!K17)</x:f>
        <x:v>3.5</x:v>
      </x:c>
      <x:c r="K14" s="18" t="n">
        <x:f>AVERAGE('ONET candidates'!L16,'ONET candidates'!L17)</x:f>
        <x:v>4.335</x:v>
      </x:c>
      <x:c r="L14" s="18" t="n">
        <x:f>AVERAGE('ONET candidates'!M16,'ONET candidates'!M17)</x:f>
        <x:v>5.165</x:v>
      </x:c>
      <x:c r="M14" s="2" t="str">
        <x:v>5.00–6.00</x:v>
      </x:c>
      <x:c r="N14" s="2" t="str">
        <x:v>5.00–5.33</x:v>
      </x:c>
      <x:c r="O14" s="2" t="str">
        <x:v>4.33–4.67</x:v>
      </x:c>
      <x:c r="P14" s="2" t="str">
        <x:v>2.67–4.33</x:v>
      </x:c>
      <x:c r="Q14" s="2" t="str">
        <x:v>3.67–5.00</x:v>
      </x:c>
      <x:c r="R14" s="2" t="str">
        <x:v>5.00–5.33</x:v>
      </x:c>
      <x:c r="S14" s="32" t="str">
        <x:v>partial</x:v>
      </x:c>
      <x:c r="T14" s="62" t="str">
        <x:v>Remaining occupation group</x:v>
      </x:c>
    </x:row>
    <x:row r="15" ht="34.5" customHeight="1">
      <x:c r="A15" s="15" t="str">
        <x:v>121720</x:v>
      </x:c>
      <x:c r="B15" s="12" t="str">
        <x:v>Mathematicians</x:v>
      </x:c>
      <x:c r="C15" s="14" t="n">
        <x:v>46</x:v>
      </x:c>
      <x:c r="D15" s="54" t="str">
        <x:v>Single occupation</x:v>
      </x:c>
      <x:c r="E15" s="55" t="str">
        <x:v>1/1</x:v>
      </x:c>
      <x:c r="F15" s="56" t="n">
        <x:v>1</x:v>
      </x:c>
      <x:c r="G15" s="18" t="n">
        <x:f>AVERAGE('ONET candidates'!H20)</x:f>
        <x:v>6</x:v>
      </x:c>
      <x:c r="H15" s="18" t="n">
        <x:f>AVERAGE('ONET candidates'!I20)</x:f>
        <x:v>5.33</x:v>
      </x:c>
      <x:c r="I15" s="18" t="n">
        <x:f>AVERAGE('ONET candidates'!J20)</x:f>
        <x:v>5.67</x:v>
      </x:c>
      <x:c r="J15" s="18" t="n">
        <x:f>AVERAGE('ONET candidates'!K20)</x:f>
        <x:v>2</x:v>
      </x:c>
      <x:c r="K15" s="18" t="n">
        <x:f>AVERAGE('ONET candidates'!L20)</x:f>
        <x:v>2.33</x:v>
      </x:c>
      <x:c r="L15" s="18" t="n">
        <x:f>AVERAGE('ONET candidates'!M20)</x:f>
        <x:v>5.33</x:v>
      </x:c>
      <x:c r="M15" s="2" t="str">
        <x:v>6.00–6.00</x:v>
      </x:c>
      <x:c r="N15" s="2" t="str">
        <x:v>5.33–5.33</x:v>
      </x:c>
      <x:c r="O15" s="2" t="str">
        <x:v>5.67–5.67</x:v>
      </x:c>
      <x:c r="P15" s="2" t="str">
        <x:v>2.00–2.00</x:v>
      </x:c>
      <x:c r="Q15" s="2" t="str">
        <x:v>2.33–2.33</x:v>
      </x:c>
      <x:c r="R15" s="2" t="str">
        <x:v>5.33–5.33</x:v>
      </x:c>
      <x:c r="S15" s="32" t="str">
        <x:v>full</x:v>
      </x:c>
      <x:c r="T15" s="32" t="str">
        <x:v>None</x:v>
      </x:c>
    </x:row>
    <x:row r="16" ht="34.5" customHeight="1">
      <x:c r="A16" s="15" t="str">
        <x:v>121730</x:v>
      </x:c>
      <x:c r="B16" s="12" t="str">
        <x:v>Operations research analysts</x:v>
      </x:c>
      <x:c r="C16" s="14" t="n">
        <x:v>371</x:v>
      </x:c>
      <x:c r="D16" s="54" t="str">
        <x:v>Single occupation</x:v>
      </x:c>
      <x:c r="E16" s="55" t="str">
        <x:v>1/1</x:v>
      </x:c>
      <x:c r="F16" s="56" t="n">
        <x:v>1</x:v>
      </x:c>
      <x:c r="G16" s="18" t="n">
        <x:f>AVERAGE('ONET candidates'!H21)</x:f>
        <x:v>6</x:v>
      </x:c>
      <x:c r="H16" s="18" t="n">
        <x:f>AVERAGE('ONET candidates'!I21)</x:f>
        <x:v>5.17</x:v>
      </x:c>
      <x:c r="I16" s="18" t="n">
        <x:f>AVERAGE('ONET candidates'!J21)</x:f>
        <x:v>5</x:v>
      </x:c>
      <x:c r="J16" s="18" t="n">
        <x:f>AVERAGE('ONET candidates'!K21)</x:f>
        <x:v>2</x:v>
      </x:c>
      <x:c r="K16" s="18" t="n">
        <x:f>AVERAGE('ONET candidates'!L21)</x:f>
        <x:v>3.33</x:v>
      </x:c>
      <x:c r="L16" s="18" t="n">
        <x:f>AVERAGE('ONET candidates'!M21)</x:f>
        <x:v>5.67</x:v>
      </x:c>
      <x:c r="M16" s="2" t="str">
        <x:v>6.00–6.00</x:v>
      </x:c>
      <x:c r="N16" s="2" t="str">
        <x:v>5.17–5.17</x:v>
      </x:c>
      <x:c r="O16" s="2" t="str">
        <x:v>5.00–5.00</x:v>
      </x:c>
      <x:c r="P16" s="2" t="str">
        <x:v>2.00–2.00</x:v>
      </x:c>
      <x:c r="Q16" s="2" t="str">
        <x:v>3.33–3.33</x:v>
      </x:c>
      <x:c r="R16" s="2" t="str">
        <x:v>5.67–5.67</x:v>
      </x:c>
      <x:c r="S16" s="32" t="str">
        <x:v>full</x:v>
      </x:c>
      <x:c r="T16" s="32" t="str">
        <x:v>None</x:v>
      </x:c>
    </x:row>
    <x:row r="17" ht="34.5" customHeight="1">
      <x:c r="A17" s="15" t="str">
        <x:v>121740</x:v>
      </x:c>
      <x:c r="B17" s="12" t="str">
        <x:v>Statisticians</x:v>
      </x:c>
      <x:c r="C17" s="14" t="n">
        <x:v>322</x:v>
      </x:c>
      <x:c r="D17" s="54" t="str">
        <x:v>Single occupation</x:v>
      </x:c>
      <x:c r="E17" s="55" t="str">
        <x:v>1/1</x:v>
      </x:c>
      <x:c r="F17" s="56" t="n">
        <x:v>1</x:v>
      </x:c>
      <x:c r="G17" s="18" t="n">
        <x:f>AVERAGE('ONET candidates'!H22)</x:f>
        <x:v>5.33</x:v>
      </x:c>
      <x:c r="H17" s="18" t="n">
        <x:f>AVERAGE('ONET candidates'!I22)</x:f>
        <x:v>4.67</x:v>
      </x:c>
      <x:c r="I17" s="18" t="n">
        <x:f>AVERAGE('ONET candidates'!J22)</x:f>
        <x:v>5</x:v>
      </x:c>
      <x:c r="J17" s="18" t="n">
        <x:f>AVERAGE('ONET candidates'!K22)</x:f>
        <x:v>4.67</x:v>
      </x:c>
      <x:c r="K17" s="18" t="n">
        <x:f>AVERAGE('ONET candidates'!L22)</x:f>
        <x:v>3</x:v>
      </x:c>
      <x:c r="L17" s="18" t="n">
        <x:f>AVERAGE('ONET candidates'!M22)</x:f>
        <x:v>5.67</x:v>
      </x:c>
      <x:c r="M17" s="2" t="str">
        <x:v>5.33–5.33</x:v>
      </x:c>
      <x:c r="N17" s="2" t="str">
        <x:v>4.67–4.67</x:v>
      </x:c>
      <x:c r="O17" s="2" t="str">
        <x:v>5.00–5.00</x:v>
      </x:c>
      <x:c r="P17" s="2" t="str">
        <x:v>4.67–4.67</x:v>
      </x:c>
      <x:c r="Q17" s="2" t="str">
        <x:v>3.00–3.00</x:v>
      </x:c>
      <x:c r="R17" s="2" t="str">
        <x:v>5.67–5.67</x:v>
      </x:c>
      <x:c r="S17" s="32" t="str">
        <x:v>full</x:v>
      </x:c>
      <x:c r="T17" s="32" t="str">
        <x:v>None</x:v>
      </x:c>
    </x:row>
    <x:row r="18" ht="34.5" customHeight="1">
      <x:c r="A18" s="15" t="str">
        <x:v>182760</x:v>
      </x:c>
      <x:c r="B18" s="12" t="str">
        <x:v>Postsecondary teachers - Computer sciences</x:v>
      </x:c>
      <x:c r="C18" s="14" t="n">
        <x:v>154</x:v>
      </x:c>
      <x:c r="D18" s="54" t="str">
        <x:v>Single occupation</x:v>
      </x:c>
      <x:c r="E18" s="55" t="str">
        <x:v>1/1</x:v>
      </x:c>
      <x:c r="F18" s="56" t="n">
        <x:v>1</x:v>
      </x:c>
      <x:c r="G18" s="18" t="n">
        <x:f>AVERAGE('ONET candidates'!H25)</x:f>
        <x:v>5.33</x:v>
      </x:c>
      <x:c r="H18" s="18" t="n">
        <x:f>AVERAGE('ONET candidates'!I25)</x:f>
        <x:v>5.17</x:v>
      </x:c>
      <x:c r="I18" s="18" t="n">
        <x:f>AVERAGE('ONET candidates'!J25)</x:f>
        <x:v>5</x:v>
      </x:c>
      <x:c r="J18" s="18" t="n">
        <x:f>AVERAGE('ONET candidates'!K25)</x:f>
        <x:v>4.67</x:v>
      </x:c>
      <x:c r="K18" s="18" t="n">
        <x:f>AVERAGE('ONET candidates'!L25)</x:f>
        <x:v>3.33</x:v>
      </x:c>
      <x:c r="L18" s="18" t="n">
        <x:f>AVERAGE('ONET candidates'!M25)</x:f>
        <x:v>5.33</x:v>
      </x:c>
      <x:c r="M18" s="2" t="str">
        <x:v>5.33–5.33</x:v>
      </x:c>
      <x:c r="N18" s="2" t="str">
        <x:v>5.17–5.17</x:v>
      </x:c>
      <x:c r="O18" s="2" t="str">
        <x:v>5.00–5.00</x:v>
      </x:c>
      <x:c r="P18" s="2" t="str">
        <x:v>4.67–4.67</x:v>
      </x:c>
      <x:c r="Q18" s="2" t="str">
        <x:v>3.33–3.33</x:v>
      </x:c>
      <x:c r="R18" s="2" t="str">
        <x:v>5.33–5.33</x:v>
      </x:c>
      <x:c r="S18" s="32" t="str">
        <x:v>full</x:v>
      </x:c>
      <x:c r="T18" s="32" t="str">
        <x:v>None</x:v>
      </x:c>
    </x:row>
    <x:row r="19" ht="34.5" customHeight="1">
      <x:c r="A19" s="15" t="str">
        <x:v>182860</x:v>
      </x:c>
      <x:c r="B19" s="12" t="str">
        <x:v>Postsecondary teachers - Mathematical sciences</x:v>
      </x:c>
      <x:c r="C19" s="14" t="n">
        <x:v>322</x:v>
      </x:c>
      <x:c r="D19" s="54" t="str">
        <x:v>Single occupation</x:v>
      </x:c>
      <x:c r="E19" s="55" t="str">
        <x:v>1/1</x:v>
      </x:c>
      <x:c r="F19" s="56" t="n">
        <x:v>1</x:v>
      </x:c>
      <x:c r="G19" s="18" t="n">
        <x:f>AVERAGE('ONET candidates'!H26)</x:f>
        <x:v>6</x:v>
      </x:c>
      <x:c r="H19" s="18" t="n">
        <x:f>AVERAGE('ONET candidates'!I26)</x:f>
        <x:v>4.83</x:v>
      </x:c>
      <x:c r="I19" s="18" t="n">
        <x:f>AVERAGE('ONET candidates'!J26)</x:f>
        <x:v>5.33</x:v>
      </x:c>
      <x:c r="J19" s="18" t="n">
        <x:f>AVERAGE('ONET candidates'!K26)</x:f>
        <x:v>4.67</x:v>
      </x:c>
      <x:c r="K19" s="18" t="n">
        <x:f>AVERAGE('ONET candidates'!L26)</x:f>
        <x:v>2.67</x:v>
      </x:c>
      <x:c r="L19" s="18" t="n">
        <x:f>AVERAGE('ONET candidates'!M26)</x:f>
        <x:v>5.67</x:v>
      </x:c>
      <x:c r="M19" s="2" t="str">
        <x:v>6.00–6.00</x:v>
      </x:c>
      <x:c r="N19" s="2" t="str">
        <x:v>4.83–4.83</x:v>
      </x:c>
      <x:c r="O19" s="2" t="str">
        <x:v>5.33–5.33</x:v>
      </x:c>
      <x:c r="P19" s="2" t="str">
        <x:v>4.67–4.67</x:v>
      </x:c>
      <x:c r="Q19" s="2" t="str">
        <x:v>2.67–2.67</x:v>
      </x:c>
      <x:c r="R19" s="2" t="str">
        <x:v>5.67–5.67</x:v>
      </x:c>
      <x:c r="S19" s="32" t="str">
        <x:v>full</x:v>
      </x:c>
      <x:c r="T19" s="32" t="str">
        <x:v>None</x:v>
      </x:c>
    </x:row>
    <x:row r="20" ht="34.5" customHeight="1">
      <x:c r="A20" s="15" t="str">
        <x:v>210210</x:v>
      </x:c>
      <x:c r="B20" s="12" t="str">
        <x:v>Agricultural and food scientists</x:v>
      </x:c>
      <x:c r="C20" s="14" t="n">
        <x:v>331</x:v>
      </x:c>
      <x:c r="D20" s="54" t="str">
        <x:v>Occupation mean</x:v>
      </x:c>
      <x:c r="E20" s="55" t="str">
        <x:v>3/3</x:v>
      </x:c>
      <x:c r="F20" s="56" t="n">
        <x:v>1</x:v>
      </x:c>
      <x:c r="G20" s="18" t="n">
        <x:f>AVERAGE('ONET candidates'!H27,'ONET candidates'!H28,'ONET candidates'!H29)</x:f>
        <x:v>5.4433333333333325</x:v>
      </x:c>
      <x:c r="H20" s="18" t="n">
        <x:f>AVERAGE('ONET candidates'!I27,'ONET candidates'!I28,'ONET candidates'!I29)</x:f>
        <x:v>4.666666666666667</x:v>
      </x:c>
      <x:c r="I20" s="18" t="n">
        <x:f>AVERAGE('ONET candidates'!J27,'ONET candidates'!J28,'ONET candidates'!J29)</x:f>
        <x:v>5.11</x:v>
      </x:c>
      <x:c r="J20" s="18" t="n">
        <x:f>AVERAGE('ONET candidates'!K27,'ONET candidates'!K28,'ONET candidates'!K29)</x:f>
        <x:v>3.8866666666666667</x:v>
      </x:c>
      <x:c r="K20" s="18" t="n">
        <x:f>AVERAGE('ONET candidates'!L27,'ONET candidates'!L28,'ONET candidates'!L29)</x:f>
        <x:v>3.776666666666667</x:v>
      </x:c>
      <x:c r="L20" s="18" t="n">
        <x:f>AVERAGE('ONET candidates'!M27,'ONET candidates'!M28,'ONET candidates'!M29)</x:f>
        <x:v>5.11</x:v>
      </x:c>
      <x:c r="M20" s="2" t="str">
        <x:v>5.00–6.00</x:v>
      </x:c>
      <x:c r="N20" s="2" t="str">
        <x:v>4.50–5.00</x:v>
      </x:c>
      <x:c r="O20" s="2" t="str">
        <x:v>4.67–5.33</x:v>
      </x:c>
      <x:c r="P20" s="2" t="str">
        <x:v>3.33–4.33</x:v>
      </x:c>
      <x:c r="Q20" s="2" t="str">
        <x:v>3.00–5.00</x:v>
      </x:c>
      <x:c r="R20" s="2" t="str">
        <x:v>4.33–5.67</x:v>
      </x:c>
      <x:c r="S20" s="32" t="str">
        <x:v>full</x:v>
      </x:c>
      <x:c r="T20" s="32" t="str">
        <x:v>None</x:v>
      </x:c>
    </x:row>
    <x:row r="21" ht="34.5" customHeight="1">
      <x:c r="A21" s="15" t="str">
        <x:v>220220</x:v>
      </x:c>
      <x:c r="B21" s="12" t="str">
        <x:v>Biochemists and biophysicists</x:v>
      </x:c>
      <x:c r="C21" s="14" t="n">
        <x:v>591</x:v>
      </x:c>
      <x:c r="D21" s="54" t="str">
        <x:v>Single occupation</x:v>
      </x:c>
      <x:c r="E21" s="55" t="str">
        <x:v>1/1</x:v>
      </x:c>
      <x:c r="F21" s="56" t="n">
        <x:v>1</x:v>
      </x:c>
      <x:c r="G21" s="18" t="n">
        <x:f>AVERAGE('ONET candidates'!H30)</x:f>
        <x:v>5.67</x:v>
      </x:c>
      <x:c r="H21" s="18" t="n">
        <x:f>AVERAGE('ONET candidates'!I30)</x:f>
        <x:v>5.67</x:v>
      </x:c>
      <x:c r="I21" s="18" t="n">
        <x:f>AVERAGE('ONET candidates'!J30)</x:f>
        <x:v>6</x:v>
      </x:c>
      <x:c r="J21" s="18" t="n">
        <x:f>AVERAGE('ONET candidates'!K30)</x:f>
        <x:v>3.67</x:v>
      </x:c>
      <x:c r="K21" s="18" t="n">
        <x:f>AVERAGE('ONET candidates'!L30)</x:f>
        <x:v>3.67</x:v>
      </x:c>
      <x:c r="L21" s="18" t="n">
        <x:f>AVERAGE('ONET candidates'!M30)</x:f>
        <x:v>5</x:v>
      </x:c>
      <x:c r="M21" s="2" t="str">
        <x:v>5.67–5.67</x:v>
      </x:c>
      <x:c r="N21" s="2" t="str">
        <x:v>5.67–5.67</x:v>
      </x:c>
      <x:c r="O21" s="2" t="str">
        <x:v>6.00–6.00</x:v>
      </x:c>
      <x:c r="P21" s="2" t="str">
        <x:v>3.67–3.67</x:v>
      </x:c>
      <x:c r="Q21" s="2" t="str">
        <x:v>3.67–3.67</x:v>
      </x:c>
      <x:c r="R21" s="2" t="str">
        <x:v>5.00–5.00</x:v>
      </x:c>
      <x:c r="S21" s="32" t="str">
        <x:v>full</x:v>
      </x:c>
      <x:c r="T21" s="32" t="str">
        <x:v>None</x:v>
      </x:c>
    </x:row>
    <x:row r="22" ht="34.5" customHeight="1">
      <x:c r="A22" s="15" t="str">
        <x:v>220230</x:v>
      </x:c>
      <x:c r="B22" s="12" t="str">
        <x:v>Biological scientists (e.g., botanists, ecologists, zoologists)</x:v>
      </x:c>
      <x:c r="C22" s="14" t="n">
        <x:v>913</x:v>
      </x:c>
      <x:c r="D22" s="54" t="str">
        <x:v>Occupation mean</x:v>
      </x:c>
      <x:c r="E22" s="60" t="str">
        <x:v>2/3</x:v>
      </x:c>
      <x:c r="F22" s="61" t="n">
        <x:v>0.6666666666666666</x:v>
      </x:c>
      <x:c r="G22" s="18" t="n">
        <x:f>AVERAGE('ONET candidates'!H31,'ONET candidates'!H32)</x:f>
        <x:v>5.165</x:v>
      </x:c>
      <x:c r="H22" s="18" t="n">
        <x:f>AVERAGE('ONET candidates'!I31,'ONET candidates'!I32)</x:f>
        <x:v>4.75</x:v>
      </x:c>
      <x:c r="I22" s="18" t="n">
        <x:f>AVERAGE('ONET candidates'!J31,'ONET candidates'!J32)</x:f>
        <x:v>5.165</x:v>
      </x:c>
      <x:c r="J22" s="18" t="n">
        <x:f>AVERAGE('ONET candidates'!K31,'ONET candidates'!K32)</x:f>
        <x:v>3.665</x:v>
      </x:c>
      <x:c r="K22" s="18" t="n">
        <x:f>AVERAGE('ONET candidates'!L31,'ONET candidates'!L32)</x:f>
        <x:v>3.5</x:v>
      </x:c>
      <x:c r="L22" s="18" t="n">
        <x:f>AVERAGE('ONET candidates'!M31,'ONET candidates'!M32)</x:f>
        <x:v>4.335</x:v>
      </x:c>
      <x:c r="M22" s="2" t="str">
        <x:v>5.00–5.33</x:v>
      </x:c>
      <x:c r="N22" s="2" t="str">
        <x:v>4.67–4.83</x:v>
      </x:c>
      <x:c r="O22" s="2" t="str">
        <x:v>5.00–5.33</x:v>
      </x:c>
      <x:c r="P22" s="2" t="str">
        <x:v>3.00–4.33</x:v>
      </x:c>
      <x:c r="Q22" s="2" t="str">
        <x:v>3.00–4.00</x:v>
      </x:c>
      <x:c r="R22" s="2" t="str">
        <x:v>3.67–5.00</x:v>
      </x:c>
      <x:c r="S22" s="32" t="str">
        <x:v>partial</x:v>
      </x:c>
      <x:c r="T22" s="32" t="str">
        <x:v>None</x:v>
      </x:c>
    </x:row>
    <x:row r="23" ht="34.5" customHeight="1">
      <x:c r="A23" s="15" t="str">
        <x:v>220250</x:v>
      </x:c>
      <x:c r="B23" s="12" t="str">
        <x:v>Medical scientists (excluding practitioners)</x:v>
      </x:c>
      <x:c r="C23" s="14" t="n">
        <x:v>680</x:v>
      </x:c>
      <x:c r="D23" s="54" t="str">
        <x:v>Occupation mean</x:v>
      </x:c>
      <x:c r="E23" s="55" t="str">
        <x:v>2/2</x:v>
      </x:c>
      <x:c r="F23" s="56" t="n">
        <x:v>1</x:v>
      </x:c>
      <x:c r="G23" s="18" t="n">
        <x:f>AVERAGE('ONET candidates'!H34,'ONET candidates'!H35)</x:f>
        <x:v>5.67</x:v>
      </x:c>
      <x:c r="H23" s="18" t="n">
        <x:f>AVERAGE('ONET candidates'!I34,'ONET candidates'!I35)</x:f>
        <x:v>5</x:v>
      </x:c>
      <x:c r="I23" s="18" t="n">
        <x:f>AVERAGE('ONET candidates'!J34,'ONET candidates'!J35)</x:f>
        <x:v>5.5</x:v>
      </x:c>
      <x:c r="J23" s="18" t="n">
        <x:f>AVERAGE('ONET candidates'!K34,'ONET candidates'!K35)</x:f>
        <x:v>4.665</x:v>
      </x:c>
      <x:c r="K23" s="18" t="n">
        <x:f>AVERAGE('ONET candidates'!L34,'ONET candidates'!L35)</x:f>
        <x:v>3.83</x:v>
      </x:c>
      <x:c r="L23" s="18" t="n">
        <x:f>AVERAGE('ONET candidates'!M34,'ONET candidates'!M35)</x:f>
        <x:v>5.5</x:v>
      </x:c>
      <x:c r="M23" s="2" t="str">
        <x:v>5.67–5.67</x:v>
      </x:c>
      <x:c r="N23" s="2" t="str">
        <x:v>4.50–5.50</x:v>
      </x:c>
      <x:c r="O23" s="2" t="str">
        <x:v>5.33–5.67</x:v>
      </x:c>
      <x:c r="P23" s="2" t="str">
        <x:v>4.33–5.00</x:v>
      </x:c>
      <x:c r="Q23" s="2" t="str">
        <x:v>3.33–4.33</x:v>
      </x:c>
      <x:c r="R23" s="2" t="str">
        <x:v>5.33–5.67</x:v>
      </x:c>
      <x:c r="S23" s="32" t="str">
        <x:v>full</x:v>
      </x:c>
      <x:c r="T23" s="32" t="str">
        <x:v>None</x:v>
      </x:c>
    </x:row>
    <x:row r="24" ht="34.5" customHeight="1">
      <x:c r="A24" s="15" t="str">
        <x:v>230240</x:v>
      </x:c>
      <x:c r="B24" s="12" t="str">
        <x:v>Conservation scientists and foresters</x:v>
      </x:c>
      <x:c r="C24" s="14" t="n">
        <x:v>226</x:v>
      </x:c>
      <x:c r="D24" s="54" t="str">
        <x:v>Occupation mean</x:v>
      </x:c>
      <x:c r="E24" s="55" t="str">
        <x:v>2/2</x:v>
      </x:c>
      <x:c r="F24" s="56" t="n">
        <x:v>1</x:v>
      </x:c>
      <x:c r="G24" s="18" t="n">
        <x:f>AVERAGE('ONET candidates'!H37,'ONET candidates'!H38)</x:f>
        <x:v>4.5</x:v>
      </x:c>
      <x:c r="H24" s="18" t="n">
        <x:f>AVERAGE('ONET candidates'!I37,'ONET candidates'!I38)</x:f>
        <x:v>4.75</x:v>
      </x:c>
      <x:c r="I24" s="18" t="n">
        <x:f>AVERAGE('ONET candidates'!J37,'ONET candidates'!J38)</x:f>
        <x:v>4</x:v>
      </x:c>
      <x:c r="J24" s="18" t="n">
        <x:f>AVERAGE('ONET candidates'!K37,'ONET candidates'!K38)</x:f>
        <x:v>4.835</x:v>
      </x:c>
      <x:c r="K24" s="18" t="n">
        <x:f>AVERAGE('ONET candidates'!L37,'ONET candidates'!L38)</x:f>
        <x:v>3.5</x:v>
      </x:c>
      <x:c r="L24" s="18" t="n">
        <x:f>AVERAGE('ONET candidates'!M37,'ONET candidates'!M38)</x:f>
        <x:v>5.335</x:v>
      </x:c>
      <x:c r="M24" s="2" t="str">
        <x:v>4.00–5.00</x:v>
      </x:c>
      <x:c r="N24" s="2" t="str">
        <x:v>4.50–5.00</x:v>
      </x:c>
      <x:c r="O24" s="2" t="str">
        <x:v>3.67–4.33</x:v>
      </x:c>
      <x:c r="P24" s="2" t="str">
        <x:v>4.00–5.67</x:v>
      </x:c>
      <x:c r="Q24" s="2" t="str">
        <x:v>3.33–3.67</x:v>
      </x:c>
      <x:c r="R24" s="2" t="str">
        <x:v>5.00–5.67</x:v>
      </x:c>
      <x:c r="S24" s="32" t="str">
        <x:v>full</x:v>
      </x:c>
      <x:c r="T24" s="32" t="str">
        <x:v>None</x:v>
      </x:c>
    </x:row>
    <x:row r="25" ht="34.5" customHeight="1">
      <x:c r="A25" s="15" t="str">
        <x:v>282710</x:v>
      </x:c>
      <x:c r="B25" s="12" t="str">
        <x:v>Postsecondary teachers - Agriculture</x:v>
      </x:c>
      <x:c r="C25" s="14" t="n">
        <x:v>52</x:v>
      </x:c>
      <x:c r="D25" s="54" t="str">
        <x:v>Single occupation</x:v>
      </x:c>
      <x:c r="E25" s="55" t="str">
        <x:v>1/1</x:v>
      </x:c>
      <x:c r="F25" s="56" t="n">
        <x:v>1</x:v>
      </x:c>
      <x:c r="G25" s="18" t="n">
        <x:f>AVERAGE('ONET candidates'!H39)</x:f>
        <x:v>5.67</x:v>
      </x:c>
      <x:c r="H25" s="18" t="n">
        <x:f>AVERAGE('ONET candidates'!I39)</x:f>
        <x:v>6</x:v>
      </x:c>
      <x:c r="I25" s="18" t="n">
        <x:f>AVERAGE('ONET candidates'!J39)</x:f>
        <x:v>5.67</x:v>
      </x:c>
      <x:c r="J25" s="18" t="n">
        <x:f>AVERAGE('ONET candidates'!K39)</x:f>
        <x:v>5</x:v>
      </x:c>
      <x:c r="K25" s="18" t="n">
        <x:f>AVERAGE('ONET candidates'!L39)</x:f>
        <x:v>3.67</x:v>
      </x:c>
      <x:c r="L25" s="18" t="n">
        <x:f>AVERAGE('ONET candidates'!M39)</x:f>
        <x:v>5.67</x:v>
      </x:c>
      <x:c r="M25" s="2" t="str">
        <x:v>5.67–5.67</x:v>
      </x:c>
      <x:c r="N25" s="2" t="str">
        <x:v>6.00–6.00</x:v>
      </x:c>
      <x:c r="O25" s="2" t="str">
        <x:v>5.67–5.67</x:v>
      </x:c>
      <x:c r="P25" s="2" t="str">
        <x:v>5.00–5.00</x:v>
      </x:c>
      <x:c r="Q25" s="2" t="str">
        <x:v>3.67–3.67</x:v>
      </x:c>
      <x:c r="R25" s="2" t="str">
        <x:v>5.67–5.67</x:v>
      </x:c>
      <x:c r="S25" s="32" t="str">
        <x:v>full</x:v>
      </x:c>
      <x:c r="T25" s="32" t="str">
        <x:v>None</x:v>
      </x:c>
    </x:row>
    <x:row r="26" ht="34.5" customHeight="1">
      <x:c r="A26" s="15" t="str">
        <x:v>282730</x:v>
      </x:c>
      <x:c r="B26" s="12" t="str">
        <x:v>Postsecondary teachers - Biological sciences</x:v>
      </x:c>
      <x:c r="C26" s="14" t="n">
        <x:v>360</x:v>
      </x:c>
      <x:c r="D26" s="54" t="str">
        <x:v>Single occupation</x:v>
      </x:c>
      <x:c r="E26" s="55" t="str">
        <x:v>1/1</x:v>
      </x:c>
      <x:c r="F26" s="56" t="n">
        <x:v>1</x:v>
      </x:c>
      <x:c r="G26" s="18" t="n">
        <x:f>AVERAGE('ONET candidates'!H40)</x:f>
        <x:v>5.67</x:v>
      </x:c>
      <x:c r="H26" s="18" t="n">
        <x:f>AVERAGE('ONET candidates'!I40)</x:f>
        <x:v>5.83</x:v>
      </x:c>
      <x:c r="I26" s="18" t="n">
        <x:f>AVERAGE('ONET candidates'!J40)</x:f>
        <x:v>5.67</x:v>
      </x:c>
      <x:c r="J26" s="18" t="n">
        <x:f>AVERAGE('ONET candidates'!K40)</x:f>
        <x:v>5</x:v>
      </x:c>
      <x:c r="K26" s="18" t="n">
        <x:f>AVERAGE('ONET candidates'!L40)</x:f>
        <x:v>3.67</x:v>
      </x:c>
      <x:c r="L26" s="18" t="n">
        <x:f>AVERAGE('ONET candidates'!M40)</x:f>
        <x:v>5.67</x:v>
      </x:c>
      <x:c r="M26" s="2" t="str">
        <x:v>5.67–5.67</x:v>
      </x:c>
      <x:c r="N26" s="2" t="str">
        <x:v>5.83–5.83</x:v>
      </x:c>
      <x:c r="O26" s="2" t="str">
        <x:v>5.67–5.67</x:v>
      </x:c>
      <x:c r="P26" s="2" t="str">
        <x:v>5.00–5.00</x:v>
      </x:c>
      <x:c r="Q26" s="2" t="str">
        <x:v>3.67–3.67</x:v>
      </x:c>
      <x:c r="R26" s="2" t="str">
        <x:v>5.67–5.67</x:v>
      </x:c>
      <x:c r="S26" s="32" t="str">
        <x:v>full</x:v>
      </x:c>
      <x:c r="T26" s="32" t="str">
        <x:v>None</x:v>
      </x:c>
    </x:row>
    <x:row r="27" ht="37.5" customHeight="1">
      <x:c r="A27" s="15" t="str">
        <x:v>282970</x:v>
      </x:c>
      <x:c r="B27" s="12" t="str">
        <x:v>Postsecondary teachers - Other life and physical sciences (e.g., conservation, etc.)</x:v>
      </x:c>
      <x:c r="C27" s="14" t="n">
        <x:v>45</x:v>
      </x:c>
      <x:c r="D27" s="54" t="str">
        <x:v>Residual profile</x:v>
      </x:c>
      <x:c r="E27" s="55" t="str">
        <x:v>1/1</x:v>
      </x:c>
      <x:c r="F27" s="56" t="n">
        <x:v>1</x:v>
      </x:c>
      <x:c r="G27" s="18" t="n">
        <x:f>AVERAGE('ONET candidates'!H41)</x:f>
        <x:v>5.33</x:v>
      </x:c>
      <x:c r="H27" s="18" t="n">
        <x:f>AVERAGE('ONET candidates'!I41)</x:f>
        <x:v>5.5</x:v>
      </x:c>
      <x:c r="I27" s="18" t="n">
        <x:f>AVERAGE('ONET candidates'!J41)</x:f>
        <x:v>5</x:v>
      </x:c>
      <x:c r="J27" s="18" t="n">
        <x:f>AVERAGE('ONET candidates'!K41)</x:f>
        <x:v>4</x:v>
      </x:c>
      <x:c r="K27" s="18" t="n">
        <x:f>AVERAGE('ONET candidates'!L41)</x:f>
        <x:v>3.33</x:v>
      </x:c>
      <x:c r="L27" s="18" t="n">
        <x:f>AVERAGE('ONET candidates'!M41)</x:f>
        <x:v>5.33</x:v>
      </x:c>
      <x:c r="M27" s="2" t="str">
        <x:v>5.33–5.33</x:v>
      </x:c>
      <x:c r="N27" s="2" t="str">
        <x:v>5.50–5.50</x:v>
      </x:c>
      <x:c r="O27" s="2" t="str">
        <x:v>5.00–5.00</x:v>
      </x:c>
      <x:c r="P27" s="2" t="str">
        <x:v>4.00–4.00</x:v>
      </x:c>
      <x:c r="Q27" s="2" t="str">
        <x:v>3.33–3.33</x:v>
      </x:c>
      <x:c r="R27" s="2" t="str">
        <x:v>5.33–5.33</x:v>
      </x:c>
      <x:c r="S27" s="32" t="str">
        <x:v>full</x:v>
      </x:c>
      <x:c r="T27" s="62" t="str">
        <x:v>One profile for the residual group</x:v>
      </x:c>
    </x:row>
    <x:row r="28" ht="34.5" customHeight="1">
      <x:c r="A28" s="15" t="str">
        <x:v>311930</x:v>
      </x:c>
      <x:c r="B28" s="12" t="str">
        <x:v>Chemists, except biochemists</x:v>
      </x:c>
      <x:c r="C28" s="14" t="n">
        <x:v>962</x:v>
      </x:c>
      <x:c r="D28" s="54" t="str">
        <x:v>Single occupation</x:v>
      </x:c>
      <x:c r="E28" s="55" t="str">
        <x:v>1/1</x:v>
      </x:c>
      <x:c r="F28" s="56" t="n">
        <x:v>1</x:v>
      </x:c>
      <x:c r="G28" s="18" t="n">
        <x:f>AVERAGE('ONET candidates'!H44)</x:f>
        <x:v>5.67</x:v>
      </x:c>
      <x:c r="H28" s="18" t="n">
        <x:f>AVERAGE('ONET candidates'!I44)</x:f>
        <x:v>5.17</x:v>
      </x:c>
      <x:c r="I28" s="18" t="n">
        <x:f>AVERAGE('ONET candidates'!J44)</x:f>
        <x:v>5</x:v>
      </x:c>
      <x:c r="J28" s="18" t="n">
        <x:f>AVERAGE('ONET candidates'!K44)</x:f>
        <x:v>3</x:v>
      </x:c>
      <x:c r="K28" s="18" t="n">
        <x:f>AVERAGE('ONET candidates'!L44)</x:f>
        <x:v>4.67</x:v>
      </x:c>
      <x:c r="L28" s="18" t="n">
        <x:f>AVERAGE('ONET candidates'!M44)</x:f>
        <x:v>5.33</x:v>
      </x:c>
      <x:c r="M28" s="2" t="str">
        <x:v>5.67–5.67</x:v>
      </x:c>
      <x:c r="N28" s="2" t="str">
        <x:v>5.17–5.17</x:v>
      </x:c>
      <x:c r="O28" s="2" t="str">
        <x:v>5.00–5.00</x:v>
      </x:c>
      <x:c r="P28" s="2" t="str">
        <x:v>3.00–3.00</x:v>
      </x:c>
      <x:c r="Q28" s="2" t="str">
        <x:v>4.67–4.67</x:v>
      </x:c>
      <x:c r="R28" s="2" t="str">
        <x:v>5.33–5.33</x:v>
      </x:c>
      <x:c r="S28" s="32" t="str">
        <x:v>full</x:v>
      </x:c>
      <x:c r="T28" s="32" t="str">
        <x:v>None</x:v>
      </x:c>
    </x:row>
    <x:row r="29" ht="34.5" customHeight="1">
      <x:c r="A29" s="15" t="str">
        <x:v>321920</x:v>
      </x:c>
      <x:c r="B29" s="12" t="str">
        <x:v>Atmospheric and space scientists</x:v>
      </x:c>
      <x:c r="C29" s="14" t="n">
        <x:v>119</x:v>
      </x:c>
      <x:c r="D29" s="54" t="str">
        <x:v>Single occupation</x:v>
      </x:c>
      <x:c r="E29" s="55" t="str">
        <x:v>1/1</x:v>
      </x:c>
      <x:c r="F29" s="56" t="n">
        <x:v>1</x:v>
      </x:c>
      <x:c r="G29" s="18" t="n">
        <x:f>AVERAGE('ONET candidates'!H45)</x:f>
        <x:v>5.33</x:v>
      </x:c>
      <x:c r="H29" s="18" t="n">
        <x:f>AVERAGE('ONET candidates'!I45)</x:f>
        <x:v>5</x:v>
      </x:c>
      <x:c r="I29" s="18" t="n">
        <x:f>AVERAGE('ONET candidates'!J45)</x:f>
        <x:v>4.67</x:v>
      </x:c>
      <x:c r="J29" s="18" t="n">
        <x:f>AVERAGE('ONET candidates'!K45)</x:f>
        <x:v>5</x:v>
      </x:c>
      <x:c r="K29" s="18" t="n">
        <x:f>AVERAGE('ONET candidates'!L45)</x:f>
        <x:v>3</x:v>
      </x:c>
      <x:c r="L29" s="18" t="n">
        <x:f>AVERAGE('ONET candidates'!M45)</x:f>
        <x:v>5</x:v>
      </x:c>
      <x:c r="M29" s="2" t="str">
        <x:v>5.33–5.33</x:v>
      </x:c>
      <x:c r="N29" s="2" t="str">
        <x:v>5.00–5.00</x:v>
      </x:c>
      <x:c r="O29" s="2" t="str">
        <x:v>4.67–4.67</x:v>
      </x:c>
      <x:c r="P29" s="2" t="str">
        <x:v>5.00–5.00</x:v>
      </x:c>
      <x:c r="Q29" s="2" t="str">
        <x:v>3.00–3.00</x:v>
      </x:c>
      <x:c r="R29" s="2" t="str">
        <x:v>5.00–5.00</x:v>
      </x:c>
      <x:c r="S29" s="32" t="str">
        <x:v>full</x:v>
      </x:c>
      <x:c r="T29" s="32" t="str">
        <x:v>None</x:v>
      </x:c>
    </x:row>
    <x:row r="30" ht="34.5" customHeight="1">
      <x:c r="A30" s="15" t="str">
        <x:v>321940</x:v>
      </x:c>
      <x:c r="B30" s="12" t="str">
        <x:v>Environmental scientists and specialists</x:v>
      </x:c>
      <x:c r="C30" s="14" t="n">
        <x:v>319</x:v>
      </x:c>
      <x:c r="D30" s="54" t="str">
        <x:v>Single occupation</x:v>
      </x:c>
      <x:c r="E30" s="55" t="str">
        <x:v>1/1</x:v>
      </x:c>
      <x:c r="F30" s="56" t="n">
        <x:v>1</x:v>
      </x:c>
      <x:c r="G30" s="18" t="n">
        <x:f>AVERAGE('ONET candidates'!H46)</x:f>
        <x:v>5</x:v>
      </x:c>
      <x:c r="H30" s="18" t="n">
        <x:f>AVERAGE('ONET candidates'!I46)</x:f>
        <x:v>4.67</x:v>
      </x:c>
      <x:c r="I30" s="18" t="n">
        <x:f>AVERAGE('ONET candidates'!J46)</x:f>
        <x:v>5</x:v>
      </x:c>
      <x:c r="J30" s="18" t="n">
        <x:f>AVERAGE('ONET candidates'!K46)</x:f>
        <x:v>4</x:v>
      </x:c>
      <x:c r="K30" s="18" t="n">
        <x:f>AVERAGE('ONET candidates'!L46)</x:f>
        <x:v>3.67</x:v>
      </x:c>
      <x:c r="L30" s="18" t="n">
        <x:f>AVERAGE('ONET candidates'!M46)</x:f>
        <x:v>5</x:v>
      </x:c>
      <x:c r="M30" s="2" t="str">
        <x:v>5.00–5.00</x:v>
      </x:c>
      <x:c r="N30" s="2" t="str">
        <x:v>4.67–4.67</x:v>
      </x:c>
      <x:c r="O30" s="2" t="str">
        <x:v>5.00–5.00</x:v>
      </x:c>
      <x:c r="P30" s="2" t="str">
        <x:v>4.00–4.00</x:v>
      </x:c>
      <x:c r="Q30" s="2" t="str">
        <x:v>3.67–3.67</x:v>
      </x:c>
      <x:c r="R30" s="2" t="str">
        <x:v>5.00–5.00</x:v>
      </x:c>
      <x:c r="S30" s="32" t="str">
        <x:v>full</x:v>
      </x:c>
      <x:c r="T30" s="32" t="str">
        <x:v>None</x:v>
      </x:c>
    </x:row>
    <x:row r="31" ht="34.5" customHeight="1">
      <x:c r="A31" s="15" t="str">
        <x:v>321950</x:v>
      </x:c>
      <x:c r="B31" s="12" t="str">
        <x:v>Geoscientists, including hydrologists and oceanographers</x:v>
      </x:c>
      <x:c r="C31" s="14" t="n">
        <x:v>219</x:v>
      </x:c>
      <x:c r="D31" s="54" t="str">
        <x:v>Occupation mean</x:v>
      </x:c>
      <x:c r="E31" s="55" t="str">
        <x:v>2/2</x:v>
      </x:c>
      <x:c r="F31" s="56" t="n">
        <x:v>1</x:v>
      </x:c>
      <x:c r="G31" s="18" t="n">
        <x:f>AVERAGE('ONET candidates'!H47,'ONET candidates'!H48)</x:f>
        <x:v>5.33</x:v>
      </x:c>
      <x:c r="H31" s="18" t="n">
        <x:f>AVERAGE('ONET candidates'!I47,'ONET candidates'!I48)</x:f>
        <x:v>5.25</x:v>
      </x:c>
      <x:c r="I31" s="18" t="n">
        <x:f>AVERAGE('ONET candidates'!J47,'ONET candidates'!J48)</x:f>
        <x:v>4.665</x:v>
      </x:c>
      <x:c r="J31" s="18" t="n">
        <x:f>AVERAGE('ONET candidates'!K47,'ONET candidates'!K48)</x:f>
        <x:v>2.83</x:v>
      </x:c>
      <x:c r="K31" s="18" t="n">
        <x:f>AVERAGE('ONET candidates'!L47,'ONET candidates'!L48)</x:f>
        <x:v>2.665</x:v>
      </x:c>
      <x:c r="L31" s="18" t="n">
        <x:f>AVERAGE('ONET candidates'!M47,'ONET candidates'!M48)</x:f>
        <x:v>5</x:v>
      </x:c>
      <x:c r="M31" s="2" t="str">
        <x:v>5.33–5.33</x:v>
      </x:c>
      <x:c r="N31" s="2" t="str">
        <x:v>5.17–5.33</x:v>
      </x:c>
      <x:c r="O31" s="2" t="str">
        <x:v>4.00–5.33</x:v>
      </x:c>
      <x:c r="P31" s="2" t="str">
        <x:v>2.33–3.33</x:v>
      </x:c>
      <x:c r="Q31" s="2" t="str">
        <x:v>2.33–3.00</x:v>
      </x:c>
      <x:c r="R31" s="2" t="str">
        <x:v>4.33–5.67</x:v>
      </x:c>
      <x:c r="S31" s="32" t="str">
        <x:v>full</x:v>
      </x:c>
      <x:c r="T31" s="32" t="str">
        <x:v>None</x:v>
      </x:c>
    </x:row>
    <x:row r="32" ht="34.5" customHeight="1">
      <x:c r="A32" s="15" t="str">
        <x:v>331960</x:v>
      </x:c>
      <x:c r="B32" s="12" t="str">
        <x:v>Physicists, except biophysicists</x:v>
      </x:c>
      <x:c r="C32" s="14" t="n">
        <x:v>240</x:v>
      </x:c>
      <x:c r="D32" s="54" t="str">
        <x:v>Single occupation</x:v>
      </x:c>
      <x:c r="E32" s="55" t="str">
        <x:v>1/1</x:v>
      </x:c>
      <x:c r="F32" s="56" t="n">
        <x:v>1</x:v>
      </x:c>
      <x:c r="G32" s="18" t="n">
        <x:f>AVERAGE('ONET candidates'!H49)</x:f>
        <x:v>6</x:v>
      </x:c>
      <x:c r="H32" s="18" t="n">
        <x:f>AVERAGE('ONET candidates'!I49)</x:f>
        <x:v>6.17</x:v>
      </x:c>
      <x:c r="I32" s="18" t="n">
        <x:f>AVERAGE('ONET candidates'!J49)</x:f>
        <x:v>6.33</x:v>
      </x:c>
      <x:c r="J32" s="18" t="n">
        <x:f>AVERAGE('ONET candidates'!K49)</x:f>
        <x:v>2.67</x:v>
      </x:c>
      <x:c r="K32" s="18" t="n">
        <x:f>AVERAGE('ONET candidates'!L49)</x:f>
        <x:v>3.67</x:v>
      </x:c>
      <x:c r="L32" s="18" t="n">
        <x:f>AVERAGE('ONET candidates'!M49)</x:f>
        <x:v>6</x:v>
      </x:c>
      <x:c r="M32" s="2" t="str">
        <x:v>6.00–6.00</x:v>
      </x:c>
      <x:c r="N32" s="2" t="str">
        <x:v>6.17–6.17</x:v>
      </x:c>
      <x:c r="O32" s="2" t="str">
        <x:v>6.33–6.33</x:v>
      </x:c>
      <x:c r="P32" s="2" t="str">
        <x:v>2.67–2.67</x:v>
      </x:c>
      <x:c r="Q32" s="2" t="str">
        <x:v>3.67–3.67</x:v>
      </x:c>
      <x:c r="R32" s="2" t="str">
        <x:v>6.00–6.00</x:v>
      </x:c>
      <x:c r="S32" s="32" t="str">
        <x:v>full</x:v>
      </x:c>
      <x:c r="T32" s="32" t="str">
        <x:v>None</x:v>
      </x:c>
    </x:row>
    <x:row r="33" ht="34.5" customHeight="1">
      <x:c r="A33" s="15" t="str">
        <x:v>341980</x:v>
      </x:c>
      <x:c r="B33" s="12" t="str">
        <x:v>Other physical scientists, including astronomersa</x:v>
      </x:c>
      <x:c r="C33" s="14" t="n">
        <x:v>236</x:v>
      </x:c>
      <x:c r="D33" s="54" t="str">
        <x:v>Occupation mean</x:v>
      </x:c>
      <x:c r="E33" s="60" t="str">
        <x:v>2/3</x:v>
      </x:c>
      <x:c r="F33" s="61" t="n">
        <x:v>0.6666666666666666</x:v>
      </x:c>
      <x:c r="G33" s="18" t="n">
        <x:f>AVERAGE('ONET candidates'!H50,'ONET candidates'!H51)</x:f>
        <x:v>5.835</x:v>
      </x:c>
      <x:c r="H33" s="18" t="n">
        <x:f>AVERAGE('ONET candidates'!I50,'ONET candidates'!I51)</x:f>
        <x:v>5.335</x:v>
      </x:c>
      <x:c r="I33" s="18" t="n">
        <x:f>AVERAGE('ONET candidates'!J50,'ONET candidates'!J51)</x:f>
        <x:v>5.5</x:v>
      </x:c>
      <x:c r="J33" s="18" t="n">
        <x:f>AVERAGE('ONET candidates'!K50,'ONET candidates'!K51)</x:f>
        <x:v>3</x:v>
      </x:c>
      <x:c r="K33" s="18" t="n">
        <x:f>AVERAGE('ONET candidates'!L50,'ONET candidates'!L51)</x:f>
        <x:v>3.165</x:v>
      </x:c>
      <x:c r="L33" s="18" t="n">
        <x:f>AVERAGE('ONET candidates'!M50,'ONET candidates'!M51)</x:f>
        <x:v>5.5</x:v>
      </x:c>
      <x:c r="M33" s="2" t="str">
        <x:v>5.67–6.00</x:v>
      </x:c>
      <x:c r="N33" s="2" t="str">
        <x:v>5.17–5.50</x:v>
      </x:c>
      <x:c r="O33" s="2" t="str">
        <x:v>5.33–5.67</x:v>
      </x:c>
      <x:c r="P33" s="2" t="str">
        <x:v>2.33–3.67</x:v>
      </x:c>
      <x:c r="Q33" s="2" t="str">
        <x:v>2.33–4.00</x:v>
      </x:c>
      <x:c r="R33" s="2" t="str">
        <x:v>5.33–5.67</x:v>
      </x:c>
      <x:c r="S33" s="32" t="str">
        <x:v>partial</x:v>
      </x:c>
      <x:c r="T33" s="62" t="str">
        <x:v>Remaining occupation group</x:v>
      </x:c>
    </x:row>
    <x:row r="34" ht="34.5" customHeight="1">
      <x:c r="A34" s="15" t="str">
        <x:v>382750</x:v>
      </x:c>
      <x:c r="B34" s="12" t="str">
        <x:v>Postsecondary teachers - Chemistry</x:v>
      </x:c>
      <x:c r="C34" s="14" t="n">
        <x:v>162</x:v>
      </x:c>
      <x:c r="D34" s="54" t="str">
        <x:v>Single occupation</x:v>
      </x:c>
      <x:c r="E34" s="55" t="str">
        <x:v>1/1</x:v>
      </x:c>
      <x:c r="F34" s="56" t="n">
        <x:v>1</x:v>
      </x:c>
      <x:c r="G34" s="18" t="n">
        <x:f>AVERAGE('ONET candidates'!H53)</x:f>
        <x:v>6</x:v>
      </x:c>
      <x:c r="H34" s="18" t="n">
        <x:f>AVERAGE('ONET candidates'!I53)</x:f>
        <x:v>5.83</x:v>
      </x:c>
      <x:c r="I34" s="18" t="n">
        <x:f>AVERAGE('ONET candidates'!J53)</x:f>
        <x:v>5.33</x:v>
      </x:c>
      <x:c r="J34" s="18" t="n">
        <x:f>AVERAGE('ONET candidates'!K53)</x:f>
        <x:v>4.67</x:v>
      </x:c>
      <x:c r="K34" s="18" t="n">
        <x:f>AVERAGE('ONET candidates'!L53)</x:f>
        <x:v>3.33</x:v>
      </x:c>
      <x:c r="L34" s="18" t="n">
        <x:f>AVERAGE('ONET candidates'!M53)</x:f>
        <x:v>5.67</x:v>
      </x:c>
      <x:c r="M34" s="2" t="str">
        <x:v>6.00–6.00</x:v>
      </x:c>
      <x:c r="N34" s="2" t="str">
        <x:v>5.83–5.83</x:v>
      </x:c>
      <x:c r="O34" s="2" t="str">
        <x:v>5.33–5.33</x:v>
      </x:c>
      <x:c r="P34" s="2" t="str">
        <x:v>4.67–4.67</x:v>
      </x:c>
      <x:c r="Q34" s="2" t="str">
        <x:v>3.33–3.33</x:v>
      </x:c>
      <x:c r="R34" s="2" t="str">
        <x:v>5.67–5.67</x:v>
      </x:c>
      <x:c r="S34" s="32" t="str">
        <x:v>full</x:v>
      </x:c>
      <x:c r="T34" s="32" t="str">
        <x:v>None</x:v>
      </x:c>
    </x:row>
    <x:row r="35" ht="37.5" customHeight="1">
      <x:c r="A35" s="15" t="str">
        <x:v>382770</x:v>
      </x:c>
      <x:c r="B35" s="12" t="str">
        <x:v>Postsecondary teachers - Atmospheric, earth, environmental, marine, and space sciences</x:v>
      </x:c>
      <x:c r="C35" s="14" t="n">
        <x:v>74</x:v>
      </x:c>
      <x:c r="D35" s="54" t="str">
        <x:v>Occupation mean</x:v>
      </x:c>
      <x:c r="E35" s="55" t="str">
        <x:v>2/2</x:v>
      </x:c>
      <x:c r="F35" s="56" t="n">
        <x:v>1</x:v>
      </x:c>
      <x:c r="G35" s="18" t="n">
        <x:f>AVERAGE('ONET candidates'!H54,'ONET candidates'!H55)</x:f>
        <x:v>6</x:v>
      </x:c>
      <x:c r="H35" s="18" t="n">
        <x:f>AVERAGE('ONET candidates'!I54,'ONET candidates'!I55)</x:f>
        <x:v>5.25</x:v>
      </x:c>
      <x:c r="I35" s="18" t="n">
        <x:f>AVERAGE('ONET candidates'!J54,'ONET candidates'!J55)</x:f>
        <x:v>5.33</x:v>
      </x:c>
      <x:c r="J35" s="18" t="n">
        <x:f>AVERAGE('ONET candidates'!K54,'ONET candidates'!K55)</x:f>
        <x:v>4</x:v>
      </x:c>
      <x:c r="K35" s="18" t="n">
        <x:f>AVERAGE('ONET candidates'!L54,'ONET candidates'!L55)</x:f>
        <x:v>2.67</x:v>
      </x:c>
      <x:c r="L35" s="18" t="n">
        <x:f>AVERAGE('ONET candidates'!M54,'ONET candidates'!M55)</x:f>
        <x:v>5.5</x:v>
      </x:c>
      <x:c r="M35" s="2" t="str">
        <x:v>6.00–6.00</x:v>
      </x:c>
      <x:c r="N35" s="2" t="str">
        <x:v>5.17–5.33</x:v>
      </x:c>
      <x:c r="O35" s="2" t="str">
        <x:v>5.33–5.33</x:v>
      </x:c>
      <x:c r="P35" s="2" t="str">
        <x:v>4.00–4.00</x:v>
      </x:c>
      <x:c r="Q35" s="2" t="str">
        <x:v>2.67–2.67</x:v>
      </x:c>
      <x:c r="R35" s="2" t="str">
        <x:v>5.33–5.67</x:v>
      </x:c>
      <x:c r="S35" s="32" t="str">
        <x:v>full</x:v>
      </x:c>
      <x:c r="T35" s="32" t="str">
        <x:v>None</x:v>
      </x:c>
    </x:row>
    <x:row r="36" ht="34.5" customHeight="1">
      <x:c r="A36" s="15" t="str">
        <x:v>382890</x:v>
      </x:c>
      <x:c r="B36" s="12" t="str">
        <x:v>Postsecondary teachers - Physics</x:v>
      </x:c>
      <x:c r="C36" s="14" t="n">
        <x:v>107</x:v>
      </x:c>
      <x:c r="D36" s="54" t="str">
        <x:v>Single occupation</x:v>
      </x:c>
      <x:c r="E36" s="55" t="str">
        <x:v>1/1</x:v>
      </x:c>
      <x:c r="F36" s="56" t="n">
        <x:v>1</x:v>
      </x:c>
      <x:c r="G36" s="18" t="n">
        <x:f>AVERAGE('ONET candidates'!H56)</x:f>
        <x:v>5.67</x:v>
      </x:c>
      <x:c r="H36" s="18" t="n">
        <x:f>AVERAGE('ONET candidates'!I56)</x:f>
        <x:v>5.67</x:v>
      </x:c>
      <x:c r="I36" s="18" t="n">
        <x:f>AVERAGE('ONET candidates'!J56)</x:f>
        <x:v>5.67</x:v>
      </x:c>
      <x:c r="J36" s="18" t="n">
        <x:f>AVERAGE('ONET candidates'!K56)</x:f>
        <x:v>4.67</x:v>
      </x:c>
      <x:c r="K36" s="18" t="n">
        <x:f>AVERAGE('ONET candidates'!L56)</x:f>
        <x:v>3.67</x:v>
      </x:c>
      <x:c r="L36" s="18" t="n">
        <x:f>AVERAGE('ONET candidates'!M56)</x:f>
        <x:v>5.33</x:v>
      </x:c>
      <x:c r="M36" s="2" t="str">
        <x:v>5.67–5.67</x:v>
      </x:c>
      <x:c r="N36" s="2" t="str">
        <x:v>5.67–5.67</x:v>
      </x:c>
      <x:c r="O36" s="2" t="str">
        <x:v>5.67–5.67</x:v>
      </x:c>
      <x:c r="P36" s="2" t="str">
        <x:v>4.67–4.67</x:v>
      </x:c>
      <x:c r="Q36" s="2" t="str">
        <x:v>3.67–3.67</x:v>
      </x:c>
      <x:c r="R36" s="2" t="str">
        <x:v>5.33–5.33</x:v>
      </x:c>
      <x:c r="S36" s="32" t="str">
        <x:v>full</x:v>
      </x:c>
      <x:c r="T36" s="32" t="str">
        <x:v>None</x:v>
      </x:c>
    </x:row>
    <x:row r="37" ht="34.5" customHeight="1">
      <x:c r="A37" s="15" t="str">
        <x:v>412320</x:v>
      </x:c>
      <x:c r="B37" s="12" t="str">
        <x:v>Economists</x:v>
      </x:c>
      <x:c r="C37" s="14" t="n">
        <x:v>352</x:v>
      </x:c>
      <x:c r="D37" s="54" t="str">
        <x:v>Single occupation</x:v>
      </x:c>
      <x:c r="E37" s="55" t="str">
        <x:v>1/1</x:v>
      </x:c>
      <x:c r="F37" s="56" t="n">
        <x:v>1</x:v>
      </x:c>
      <x:c r="G37" s="18" t="n">
        <x:f>AVERAGE('ONET candidates'!H57)</x:f>
        <x:v>5</x:v>
      </x:c>
      <x:c r="H37" s="18" t="n">
        <x:f>AVERAGE('ONET candidates'!I57)</x:f>
        <x:v>5.67</x:v>
      </x:c>
      <x:c r="I37" s="18" t="n">
        <x:f>AVERAGE('ONET candidates'!J57)</x:f>
        <x:v>5</x:v>
      </x:c>
      <x:c r="J37" s="18" t="n">
        <x:f>AVERAGE('ONET candidates'!K57)</x:f>
        <x:v>2.33</x:v>
      </x:c>
      <x:c r="K37" s="18" t="n">
        <x:f>AVERAGE('ONET candidates'!L57)</x:f>
        <x:v>3.33</x:v>
      </x:c>
      <x:c r="L37" s="18" t="n">
        <x:f>AVERAGE('ONET candidates'!M57)</x:f>
        <x:v>5.33</x:v>
      </x:c>
      <x:c r="M37" s="2" t="str">
        <x:v>5.00–5.00</x:v>
      </x:c>
      <x:c r="N37" s="2" t="str">
        <x:v>5.67–5.67</x:v>
      </x:c>
      <x:c r="O37" s="2" t="str">
        <x:v>5.00–5.00</x:v>
      </x:c>
      <x:c r="P37" s="2" t="str">
        <x:v>2.33–2.33</x:v>
      </x:c>
      <x:c r="Q37" s="2" t="str">
        <x:v>3.33–3.33</x:v>
      </x:c>
      <x:c r="R37" s="2" t="str">
        <x:v>5.33–5.33</x:v>
      </x:c>
      <x:c r="S37" s="32" t="str">
        <x:v>full</x:v>
      </x:c>
      <x:c r="T37" s="32" t="str">
        <x:v>None</x:v>
      </x:c>
    </x:row>
    <x:row r="38" ht="34.5" customHeight="1">
      <x:c r="A38" s="15" t="str">
        <x:v>422350</x:v>
      </x:c>
      <x:c r="B38" s="12" t="str">
        <x:v>Political scientists</x:v>
      </x:c>
      <x:c r="C38" s="14" t="n">
        <x:v>90</x:v>
      </x:c>
      <x:c r="D38" s="54" t="str">
        <x:v>Single occupation</x:v>
      </x:c>
      <x:c r="E38" s="55" t="str">
        <x:v>1/1</x:v>
      </x:c>
      <x:c r="F38" s="56" t="n">
        <x:v>1</x:v>
      </x:c>
      <x:c r="G38" s="18" t="n">
        <x:f>AVERAGE('ONET candidates'!H58)</x:f>
        <x:v>5.67</x:v>
      </x:c>
      <x:c r="H38" s="18" t="n">
        <x:f>AVERAGE('ONET candidates'!I58)</x:f>
        <x:v>5.67</x:v>
      </x:c>
      <x:c r="I38" s="18" t="n">
        <x:f>AVERAGE('ONET candidates'!J58)</x:f>
        <x:v>5.33</x:v>
      </x:c>
      <x:c r="J38" s="18" t="n">
        <x:f>AVERAGE('ONET candidates'!K58)</x:f>
        <x:v>3.33</x:v>
      </x:c>
      <x:c r="K38" s="18" t="n">
        <x:f>AVERAGE('ONET candidates'!L58)</x:f>
        <x:v>2.33</x:v>
      </x:c>
      <x:c r="L38" s="18" t="n">
        <x:f>AVERAGE('ONET candidates'!M58)</x:f>
        <x:v>5</x:v>
      </x:c>
      <x:c r="M38" s="2" t="str">
        <x:v>5.67–5.67</x:v>
      </x:c>
      <x:c r="N38" s="2" t="str">
        <x:v>5.67–5.67</x:v>
      </x:c>
      <x:c r="O38" s="2" t="str">
        <x:v>5.33–5.33</x:v>
      </x:c>
      <x:c r="P38" s="2" t="str">
        <x:v>3.33–3.33</x:v>
      </x:c>
      <x:c r="Q38" s="2" t="str">
        <x:v>2.33–2.33</x:v>
      </x:c>
      <x:c r="R38" s="2" t="str">
        <x:v>5.00–5.00</x:v>
      </x:c>
      <x:c r="S38" s="32" t="str">
        <x:v>full</x:v>
      </x:c>
      <x:c r="T38" s="32" t="str">
        <x:v>None</x:v>
      </x:c>
    </x:row>
    <x:row r="39" ht="37.5" customHeight="1">
      <x:c r="A39" s="15" t="str">
        <x:v>432360</x:v>
      </x:c>
      <x:c r="B39" s="12" t="str">
        <x:v>Psychologists - research and applied (e.g., industrial-organizational, experimental)b</x:v>
      </x:c>
      <x:c r="C39" s="14" t="n">
        <x:v>468</x:v>
      </x:c>
      <x:c r="D39" s="54" t="str">
        <x:v>Only rated member</x:v>
      </x:c>
      <x:c r="E39" s="60" t="str">
        <x:v>1/2</x:v>
      </x:c>
      <x:c r="F39" s="61" t="n">
        <x:v>0.5</x:v>
      </x:c>
      <x:c r="G39" s="18" t="n">
        <x:f>AVERAGE('ONET candidates'!H59)</x:f>
        <x:v>5.67</x:v>
      </x:c>
      <x:c r="H39" s="18" t="n">
        <x:f>AVERAGE('ONET candidates'!I59)</x:f>
        <x:v>6.17</x:v>
      </x:c>
      <x:c r="I39" s="18" t="n">
        <x:f>AVERAGE('ONET candidates'!J59)</x:f>
        <x:v>4.67</x:v>
      </x:c>
      <x:c r="J39" s="18" t="n">
        <x:f>AVERAGE('ONET candidates'!K59)</x:f>
        <x:v>6</x:v>
      </x:c>
      <x:c r="K39" s="18" t="n">
        <x:f>AVERAGE('ONET candidates'!L59)</x:f>
        <x:v>5</x:v>
      </x:c>
      <x:c r="L39" s="18" t="n">
        <x:f>AVERAGE('ONET candidates'!M59)</x:f>
        <x:v>5.67</x:v>
      </x:c>
      <x:c r="M39" s="2" t="str">
        <x:v>5.67–5.67</x:v>
      </x:c>
      <x:c r="N39" s="2" t="str">
        <x:v>6.17–6.17</x:v>
      </x:c>
      <x:c r="O39" s="2" t="str">
        <x:v>4.67–4.67</x:v>
      </x:c>
      <x:c r="P39" s="2" t="str">
        <x:v>6.00–6.00</x:v>
      </x:c>
      <x:c r="Q39" s="2" t="str">
        <x:v>5.00–5.00</x:v>
      </x:c>
      <x:c r="R39" s="2" t="str">
        <x:v>5.67–5.67</x:v>
      </x:c>
      <x:c r="S39" s="32" t="str">
        <x:v>partial</x:v>
      </x:c>
      <x:c r="T39" s="62" t="str">
        <x:v>Only one rated member</x:v>
      </x:c>
    </x:row>
    <x:row r="40" ht="34.5" customHeight="1">
      <x:c r="A40" s="15" t="str">
        <x:v>442310</x:v>
      </x:c>
      <x:c r="B40" s="12" t="str">
        <x:v>Anthropologists and archeologists</x:v>
      </x:c>
      <x:c r="C40" s="14" t="n">
        <x:v>122</x:v>
      </x:c>
      <x:c r="D40" s="54" t="str">
        <x:v>Single occupation</x:v>
      </x:c>
      <x:c r="E40" s="55" t="str">
        <x:v>1/1</x:v>
      </x:c>
      <x:c r="F40" s="56" t="n">
        <x:v>1</x:v>
      </x:c>
      <x:c r="G40" s="18" t="n">
        <x:f>AVERAGE('ONET candidates'!H61)</x:f>
        <x:v>5.83</x:v>
      </x:c>
      <x:c r="H40" s="18" t="n">
        <x:f>AVERAGE('ONET candidates'!I61)</x:f>
        <x:v>5.17</x:v>
      </x:c>
      <x:c r="I40" s="18" t="n">
        <x:f>AVERAGE('ONET candidates'!J61)</x:f>
        <x:v>5.17</x:v>
      </x:c>
      <x:c r="J40" s="18" t="n">
        <x:f>AVERAGE('ONET candidates'!K61)</x:f>
        <x:v>4.67</x:v>
      </x:c>
      <x:c r="K40" s="18" t="n">
        <x:f>AVERAGE('ONET candidates'!L61)</x:f>
        <x:v>3</x:v>
      </x:c>
      <x:c r="L40" s="18" t="n">
        <x:f>AVERAGE('ONET candidates'!M61)</x:f>
        <x:v>5.5</x:v>
      </x:c>
      <x:c r="M40" s="2" t="str">
        <x:v>5.83–5.83</x:v>
      </x:c>
      <x:c r="N40" s="2" t="str">
        <x:v>5.17–5.17</x:v>
      </x:c>
      <x:c r="O40" s="2" t="str">
        <x:v>5.17–5.17</x:v>
      </x:c>
      <x:c r="P40" s="2" t="str">
        <x:v>4.67–4.67</x:v>
      </x:c>
      <x:c r="Q40" s="2" t="str">
        <x:v>3.00–3.00</x:v>
      </x:c>
      <x:c r="R40" s="2" t="str">
        <x:v>5.50–5.50</x:v>
      </x:c>
      <x:c r="S40" s="32" t="str">
        <x:v>full</x:v>
      </x:c>
      <x:c r="T40" s="32" t="str">
        <x:v>None</x:v>
      </x:c>
    </x:row>
    <x:row r="41" ht="34.5" customHeight="1">
      <x:c r="A41" s="15" t="str">
        <x:v>442370</x:v>
      </x:c>
      <x:c r="B41" s="12" t="str">
        <x:v>Sociologists</x:v>
      </x:c>
      <x:c r="C41" s="14" t="n">
        <x:v>66</x:v>
      </x:c>
      <x:c r="D41" s="54" t="str">
        <x:v>Single occupation</x:v>
      </x:c>
      <x:c r="E41" s="55" t="str">
        <x:v>1/1</x:v>
      </x:c>
      <x:c r="F41" s="56" t="n">
        <x:v>1</x:v>
      </x:c>
      <x:c r="G41" s="18" t="n">
        <x:f>AVERAGE('ONET candidates'!H62)</x:f>
        <x:v>5.67</x:v>
      </x:c>
      <x:c r="H41" s="18" t="n">
        <x:f>AVERAGE('ONET candidates'!I62)</x:f>
        <x:v>5.17</x:v>
      </x:c>
      <x:c r="I41" s="18" t="n">
        <x:f>AVERAGE('ONET candidates'!J62)</x:f>
        <x:v>5.33</x:v>
      </x:c>
      <x:c r="J41" s="18" t="n">
        <x:f>AVERAGE('ONET candidates'!K62)</x:f>
        <x:v>3.33</x:v>
      </x:c>
      <x:c r="K41" s="18" t="n">
        <x:f>AVERAGE('ONET candidates'!L62)</x:f>
        <x:v>2.67</x:v>
      </x:c>
      <x:c r="L41" s="18" t="n">
        <x:f>AVERAGE('ONET candidates'!M62)</x:f>
        <x:v>5.67</x:v>
      </x:c>
      <x:c r="M41" s="2" t="str">
        <x:v>5.67–5.67</x:v>
      </x:c>
      <x:c r="N41" s="2" t="str">
        <x:v>5.17–5.17</x:v>
      </x:c>
      <x:c r="O41" s="2" t="str">
        <x:v>5.33–5.33</x:v>
      </x:c>
      <x:c r="P41" s="2" t="str">
        <x:v>3.33–3.33</x:v>
      </x:c>
      <x:c r="Q41" s="2" t="str">
        <x:v>2.67–2.67</x:v>
      </x:c>
      <x:c r="R41" s="2" t="str">
        <x:v>5.67–5.67</x:v>
      </x:c>
      <x:c r="S41" s="32" t="str">
        <x:v>full</x:v>
      </x:c>
      <x:c r="T41" s="32" t="str">
        <x:v>None</x:v>
      </x:c>
    </x:row>
    <x:row r="42" ht="34.5" customHeight="1">
      <x:c r="A42" s="15" t="str">
        <x:v>452380</x:v>
      </x:c>
      <x:c r="B42" s="12" t="str">
        <x:v>Other social scientists</x:v>
      </x:c>
      <x:c r="C42" s="14" t="n">
        <x:v>603</x:v>
      </x:c>
      <x:c r="D42" s="54" t="str">
        <x:v>Occupation mean</x:v>
      </x:c>
      <x:c r="E42" s="60" t="str">
        <x:v>3/4</x:v>
      </x:c>
      <x:c r="F42" s="61" t="n">
        <x:v>0.75</x:v>
      </x:c>
      <x:c r="G42" s="18" t="n">
        <x:f>AVERAGE('ONET candidates'!H63,'ONET candidates'!H64,'ONET candidates'!H65)</x:f>
        <x:v>5.113333333333333</x:v>
      </x:c>
      <x:c r="H42" s="18" t="n">
        <x:f>AVERAGE('ONET candidates'!I63,'ONET candidates'!I64,'ONET candidates'!I65)</x:f>
        <x:v>4.723333333333334</x:v>
      </x:c>
      <x:c r="I42" s="18" t="n">
        <x:f>AVERAGE('ONET candidates'!J63,'ONET candidates'!J64,'ONET candidates'!J65)</x:f>
        <x:v>4.556666666666667</x:v>
      </x:c>
      <x:c r="J42" s="18" t="n">
        <x:f>AVERAGE('ONET candidates'!K63,'ONET candidates'!K64,'ONET candidates'!K65)</x:f>
        <x:v>4.333333333333333</x:v>
      </x:c>
      <x:c r="K42" s="18" t="n">
        <x:f>AVERAGE('ONET candidates'!L63,'ONET candidates'!L64,'ONET candidates'!L65)</x:f>
        <x:v>3.5566666666666666</x:v>
      </x:c>
      <x:c r="L42" s="18" t="n">
        <x:f>AVERAGE('ONET candidates'!M63,'ONET candidates'!M64,'ONET candidates'!M65)</x:f>
        <x:v>5.22</x:v>
      </x:c>
      <x:c r="M42" s="2" t="str">
        <x:v>4.67–5.67</x:v>
      </x:c>
      <x:c r="N42" s="2" t="str">
        <x:v>3.67–5.50</x:v>
      </x:c>
      <x:c r="O42" s="2" t="str">
        <x:v>4.33–4.67</x:v>
      </x:c>
      <x:c r="P42" s="2" t="str">
        <x:v>3.00–5.33</x:v>
      </x:c>
      <x:c r="Q42" s="2" t="str">
        <x:v>3.33–3.67</x:v>
      </x:c>
      <x:c r="R42" s="2" t="str">
        <x:v>4.33–6.00</x:v>
      </x:c>
      <x:c r="S42" s="32" t="str">
        <x:v>partial</x:v>
      </x:c>
      <x:c r="T42" s="62" t="str">
        <x:v>Remaining occupation group</x:v>
      </x:c>
    </x:row>
    <x:row r="43" ht="34.5" customHeight="1">
      <x:c r="A43" s="15" t="str">
        <x:v>482780</x:v>
      </x:c>
      <x:c r="B43" s="12" t="str">
        <x:v>Postsecondary teachers - Economics</x:v>
      </x:c>
      <x:c r="C43" s="14" t="n">
        <x:v>107</x:v>
      </x:c>
      <x:c r="D43" s="54" t="str">
        <x:v>Single occupation</x:v>
      </x:c>
      <x:c r="E43" s="55" t="str">
        <x:v>1/1</x:v>
      </x:c>
      <x:c r="F43" s="56" t="n">
        <x:v>1</x:v>
      </x:c>
      <x:c r="G43" s="18" t="n">
        <x:f>AVERAGE('ONET candidates'!H68)</x:f>
        <x:v>6</x:v>
      </x:c>
      <x:c r="H43" s="18" t="n">
        <x:f>AVERAGE('ONET candidates'!I68)</x:f>
        <x:v>5.17</x:v>
      </x:c>
      <x:c r="I43" s="18" t="n">
        <x:f>AVERAGE('ONET candidates'!J68)</x:f>
        <x:v>5.33</x:v>
      </x:c>
      <x:c r="J43" s="18" t="n">
        <x:f>AVERAGE('ONET candidates'!K68)</x:f>
        <x:v>4</x:v>
      </x:c>
      <x:c r="K43" s="18" t="n">
        <x:f>AVERAGE('ONET candidates'!L68)</x:f>
        <x:v>2.67</x:v>
      </x:c>
      <x:c r="L43" s="18" t="n">
        <x:f>AVERAGE('ONET candidates'!M68)</x:f>
        <x:v>5.67</x:v>
      </x:c>
      <x:c r="M43" s="2" t="str">
        <x:v>6.00–6.00</x:v>
      </x:c>
      <x:c r="N43" s="2" t="str">
        <x:v>5.17–5.17</x:v>
      </x:c>
      <x:c r="O43" s="2" t="str">
        <x:v>5.33–5.33</x:v>
      </x:c>
      <x:c r="P43" s="2" t="str">
        <x:v>4.00–4.00</x:v>
      </x:c>
      <x:c r="Q43" s="2" t="str">
        <x:v>2.67–2.67</x:v>
      </x:c>
      <x:c r="R43" s="2" t="str">
        <x:v>5.67–5.67</x:v>
      </x:c>
      <x:c r="S43" s="32" t="str">
        <x:v>full</x:v>
      </x:c>
      <x:c r="T43" s="32" t="str">
        <x:v>None</x:v>
      </x:c>
    </x:row>
    <x:row r="44" ht="34.5" customHeight="1">
      <x:c r="A44" s="15" t="str">
        <x:v>482900</x:v>
      </x:c>
      <x:c r="B44" s="12" t="str">
        <x:v>Postsecondary teachers - Political science</x:v>
      </x:c>
      <x:c r="C44" s="14" t="n">
        <x:v>68</x:v>
      </x:c>
      <x:c r="D44" s="54" t="str">
        <x:v>Single occupation</x:v>
      </x:c>
      <x:c r="E44" s="55" t="str">
        <x:v>1/1</x:v>
      </x:c>
      <x:c r="F44" s="56" t="n">
        <x:v>1</x:v>
      </x:c>
      <x:c r="G44" s="18" t="n">
        <x:f>AVERAGE('ONET candidates'!H69)</x:f>
        <x:v>5.67</x:v>
      </x:c>
      <x:c r="H44" s="18" t="n">
        <x:f>AVERAGE('ONET candidates'!I69)</x:f>
        <x:v>6</x:v>
      </x:c>
      <x:c r="I44" s="18" t="n">
        <x:f>AVERAGE('ONET candidates'!J69)</x:f>
        <x:v>5.67</x:v>
      </x:c>
      <x:c r="J44" s="18" t="n">
        <x:f>AVERAGE('ONET candidates'!K69)</x:f>
        <x:v>5</x:v>
      </x:c>
      <x:c r="K44" s="18" t="n">
        <x:f>AVERAGE('ONET candidates'!L69)</x:f>
        <x:v>3.67</x:v>
      </x:c>
      <x:c r="L44" s="18" t="n">
        <x:f>AVERAGE('ONET candidates'!M69)</x:f>
        <x:v>5.67</x:v>
      </x:c>
      <x:c r="M44" s="2" t="str">
        <x:v>5.67–5.67</x:v>
      </x:c>
      <x:c r="N44" s="2" t="str">
        <x:v>6.00–6.00</x:v>
      </x:c>
      <x:c r="O44" s="2" t="str">
        <x:v>5.67–5.67</x:v>
      </x:c>
      <x:c r="P44" s="2" t="str">
        <x:v>5.00–5.00</x:v>
      </x:c>
      <x:c r="Q44" s="2" t="str">
        <x:v>3.67–3.67</x:v>
      </x:c>
      <x:c r="R44" s="2" t="str">
        <x:v>5.67–5.67</x:v>
      </x:c>
      <x:c r="S44" s="32" t="str">
        <x:v>full</x:v>
      </x:c>
      <x:c r="T44" s="32" t="str">
        <x:v>None</x:v>
      </x:c>
    </x:row>
    <x:row r="45" ht="34.5" customHeight="1">
      <x:c r="A45" s="15" t="str">
        <x:v>482910</x:v>
      </x:c>
      <x:c r="B45" s="12" t="str">
        <x:v>Postsecondary teachers - Psychology</x:v>
      </x:c>
      <x:c r="C45" s="14" t="n">
        <x:v>150</x:v>
      </x:c>
      <x:c r="D45" s="54" t="str">
        <x:v>Single occupation</x:v>
      </x:c>
      <x:c r="E45" s="55" t="str">
        <x:v>1/1</x:v>
      </x:c>
      <x:c r="F45" s="56" t="n">
        <x:v>1</x:v>
      </x:c>
      <x:c r="G45" s="18" t="n">
        <x:f>AVERAGE('ONET candidates'!H70)</x:f>
        <x:v>5.67</x:v>
      </x:c>
      <x:c r="H45" s="18" t="n">
        <x:f>AVERAGE('ONET candidates'!I70)</x:f>
        <x:v>5.33</x:v>
      </x:c>
      <x:c r="I45" s="18" t="n">
        <x:f>AVERAGE('ONET candidates'!J70)</x:f>
        <x:v>5.33</x:v>
      </x:c>
      <x:c r="J45" s="18" t="n">
        <x:f>AVERAGE('ONET candidates'!K70)</x:f>
        <x:v>5.33</x:v>
      </x:c>
      <x:c r="K45" s="18" t="n">
        <x:f>AVERAGE('ONET candidates'!L70)</x:f>
        <x:v>3.67</x:v>
      </x:c>
      <x:c r="L45" s="18" t="n">
        <x:f>AVERAGE('ONET candidates'!M70)</x:f>
        <x:v>5.33</x:v>
      </x:c>
      <x:c r="M45" s="2" t="str">
        <x:v>5.67–5.67</x:v>
      </x:c>
      <x:c r="N45" s="2" t="str">
        <x:v>5.33–5.33</x:v>
      </x:c>
      <x:c r="O45" s="2" t="str">
        <x:v>5.33–5.33</x:v>
      </x:c>
      <x:c r="P45" s="2" t="str">
        <x:v>5.33–5.33</x:v>
      </x:c>
      <x:c r="Q45" s="2" t="str">
        <x:v>3.67–3.67</x:v>
      </x:c>
      <x:c r="R45" s="2" t="str">
        <x:v>5.33–5.33</x:v>
      </x:c>
      <x:c r="S45" s="32" t="str">
        <x:v>full</x:v>
      </x:c>
      <x:c r="T45" s="32" t="str">
        <x:v>None</x:v>
      </x:c>
    </x:row>
    <x:row r="46" ht="34.5" customHeight="1">
      <x:c r="A46" s="15" t="str">
        <x:v>482930</x:v>
      </x:c>
      <x:c r="B46" s="12" t="str">
        <x:v>Postsecondary teachers - Sociology</x:v>
      </x:c>
      <x:c r="C46" s="14" t="n">
        <x:v>62</x:v>
      </x:c>
      <x:c r="D46" s="54" t="str">
        <x:v>Single occupation</x:v>
      </x:c>
      <x:c r="E46" s="55" t="str">
        <x:v>1/1</x:v>
      </x:c>
      <x:c r="F46" s="56" t="n">
        <x:v>1</x:v>
      </x:c>
      <x:c r="G46" s="18" t="n">
        <x:f>AVERAGE('ONET candidates'!H71)</x:f>
        <x:v>5.67</x:v>
      </x:c>
      <x:c r="H46" s="18" t="n">
        <x:f>AVERAGE('ONET candidates'!I71)</x:f>
        <x:v>5.17</x:v>
      </x:c>
      <x:c r="I46" s="18" t="n">
        <x:f>AVERAGE('ONET candidates'!J71)</x:f>
        <x:v>5.33</x:v>
      </x:c>
      <x:c r="J46" s="18" t="n">
        <x:f>AVERAGE('ONET candidates'!K71)</x:f>
        <x:v>5.33</x:v>
      </x:c>
      <x:c r="K46" s="18" t="n">
        <x:f>AVERAGE('ONET candidates'!L71)</x:f>
        <x:v>2.67</x:v>
      </x:c>
      <x:c r="L46" s="18" t="n">
        <x:f>AVERAGE('ONET candidates'!M71)</x:f>
        <x:v>5.67</x:v>
      </x:c>
      <x:c r="M46" s="2" t="str">
        <x:v>5.67–5.67</x:v>
      </x:c>
      <x:c r="N46" s="2" t="str">
        <x:v>5.17–5.17</x:v>
      </x:c>
      <x:c r="O46" s="2" t="str">
        <x:v>5.33–5.33</x:v>
      </x:c>
      <x:c r="P46" s="2" t="str">
        <x:v>5.33–5.33</x:v>
      </x:c>
      <x:c r="Q46" s="2" t="str">
        <x:v>2.67–2.67</x:v>
      </x:c>
      <x:c r="R46" s="2" t="str">
        <x:v>5.67–5.67</x:v>
      </x:c>
      <x:c r="S46" s="32" t="str">
        <x:v>full</x:v>
      </x:c>
      <x:c r="T46" s="32" t="str">
        <x:v>None</x:v>
      </x:c>
    </x:row>
    <x:row r="47" ht="34.5" customHeight="1">
      <x:c r="A47" s="15" t="str">
        <x:v>482980</x:v>
      </x:c>
      <x:c r="B47" s="12" t="str">
        <x:v>Postsecondary teachers - Other social sciences</x:v>
      </x:c>
      <x:c r="C47" s="14" t="n">
        <x:v>245</x:v>
      </x:c>
      <x:c r="D47" s="54" t="str">
        <x:v>Occupation mean</x:v>
      </x:c>
      <x:c r="E47" s="60" t="str">
        <x:v>3/4</x:v>
      </x:c>
      <x:c r="F47" s="61" t="n">
        <x:v>0.75</x:v>
      </x:c>
      <x:c r="G47" s="18" t="n">
        <x:f>AVERAGE('ONET candidates'!H72,'ONET candidates'!H73,'ONET candidates'!H74)</x:f>
        <x:v>5.776666666666666</x:v>
      </x:c>
      <x:c r="H47" s="18" t="n">
        <x:f>AVERAGE('ONET candidates'!I72,'ONET candidates'!I73,'ONET candidates'!I74)</x:f>
        <x:v>5.503333333333333</x:v>
      </x:c>
      <x:c r="I47" s="18" t="n">
        <x:f>AVERAGE('ONET candidates'!J72,'ONET candidates'!J73,'ONET candidates'!J74)</x:f>
        <x:v>5.33</x:v>
      </x:c>
      <x:c r="J47" s="18" t="n">
        <x:f>AVERAGE('ONET candidates'!K72,'ONET candidates'!K73,'ONET candidates'!K74)</x:f>
        <x:v>5</x:v>
      </x:c>
      <x:c r="K47" s="18" t="n">
        <x:f>AVERAGE('ONET candidates'!L72,'ONET candidates'!L73,'ONET candidates'!L74)</x:f>
        <x:v>2.89</x:v>
      </x:c>
      <x:c r="L47" s="18" t="n">
        <x:f>AVERAGE('ONET candidates'!M72,'ONET candidates'!M73,'ONET candidates'!M74)</x:f>
        <x:v>5.890000000000001</x:v>
      </x:c>
      <x:c r="M47" s="2" t="str">
        <x:v>5.33–6.00</x:v>
      </x:c>
      <x:c r="N47" s="2" t="str">
        <x:v>5.17–6.17</x:v>
      </x:c>
      <x:c r="O47" s="2" t="str">
        <x:v>5.33–5.33</x:v>
      </x:c>
      <x:c r="P47" s="2" t="str">
        <x:v>4.33–5.67</x:v>
      </x:c>
      <x:c r="Q47" s="2" t="str">
        <x:v>2.67–3.33</x:v>
      </x:c>
      <x:c r="R47" s="2" t="str">
        <x:v>5.67–6.33</x:v>
      </x:c>
      <x:c r="S47" s="32" t="str">
        <x:v>partial</x:v>
      </x:c>
      <x:c r="T47" s="62" t="str">
        <x:v>Remaining occupation group</x:v>
      </x:c>
    </x:row>
    <x:row r="48" ht="34.5" customHeight="1">
      <x:c r="A48" s="15" t="str">
        <x:v>510820</x:v>
      </x:c>
      <x:c r="B48" s="12" t="str">
        <x:v>Aeronautical, aerospace, and astronautical engineers</x:v>
      </x:c>
      <x:c r="C48" s="14" t="n">
        <x:v>679</x:v>
      </x:c>
      <x:c r="D48" s="54" t="str">
        <x:v>Single occupation</x:v>
      </x:c>
      <x:c r="E48" s="55" t="str">
        <x:v>1/1</x:v>
      </x:c>
      <x:c r="F48" s="56" t="n">
        <x:v>1</x:v>
      </x:c>
      <x:c r="G48" s="18" t="n">
        <x:f>AVERAGE('ONET candidates'!H76)</x:f>
        <x:v>5</x:v>
      </x:c>
      <x:c r="H48" s="18" t="n">
        <x:f>AVERAGE('ONET candidates'!I76)</x:f>
        <x:v>5.5</x:v>
      </x:c>
      <x:c r="I48" s="18" t="n">
        <x:f>AVERAGE('ONET candidates'!J76)</x:f>
        <x:v>5.33</x:v>
      </x:c>
      <x:c r="J48" s="18" t="n">
        <x:f>AVERAGE('ONET candidates'!K76)</x:f>
        <x:v>4.33</x:v>
      </x:c>
      <x:c r="K48" s="18" t="n">
        <x:f>AVERAGE('ONET candidates'!L76)</x:f>
        <x:v>5</x:v>
      </x:c>
      <x:c r="L48" s="18" t="n">
        <x:f>AVERAGE('ONET candidates'!M76)</x:f>
        <x:v>5.33</x:v>
      </x:c>
      <x:c r="M48" s="2" t="str">
        <x:v>5.00–5.00</x:v>
      </x:c>
      <x:c r="N48" s="2" t="str">
        <x:v>5.50–5.50</x:v>
      </x:c>
      <x:c r="O48" s="2" t="str">
        <x:v>5.33–5.33</x:v>
      </x:c>
      <x:c r="P48" s="2" t="str">
        <x:v>4.33–4.33</x:v>
      </x:c>
      <x:c r="Q48" s="2" t="str">
        <x:v>5.00–5.00</x:v>
      </x:c>
      <x:c r="R48" s="2" t="str">
        <x:v>5.33–5.33</x:v>
      </x:c>
      <x:c r="S48" s="32" t="str">
        <x:v>full</x:v>
      </x:c>
      <x:c r="T48" s="32" t="str">
        <x:v>None</x:v>
      </x:c>
    </x:row>
    <x:row r="49" ht="34.5" customHeight="1">
      <x:c r="A49" s="15" t="str">
        <x:v>520850</x:v>
      </x:c>
      <x:c r="B49" s="12" t="str">
        <x:v>Chemical engineers</x:v>
      </x:c>
      <x:c r="C49" s="14" t="n">
        <x:v>579</x:v>
      </x:c>
      <x:c r="D49" s="54" t="str">
        <x:v>Single occupation</x:v>
      </x:c>
      <x:c r="E49" s="55" t="str">
        <x:v>1/1</x:v>
      </x:c>
      <x:c r="F49" s="56" t="n">
        <x:v>1</x:v>
      </x:c>
      <x:c r="G49" s="18" t="n">
        <x:f>AVERAGE('ONET candidates'!H77)</x:f>
        <x:v>5.33</x:v>
      </x:c>
      <x:c r="H49" s="18" t="n">
        <x:f>AVERAGE('ONET candidates'!I77)</x:f>
        <x:v>5.33</x:v>
      </x:c>
      <x:c r="I49" s="18" t="n">
        <x:f>AVERAGE('ONET candidates'!J77)</x:f>
        <x:v>5.67</x:v>
      </x:c>
      <x:c r="J49" s="18" t="n">
        <x:f>AVERAGE('ONET candidates'!K77)</x:f>
        <x:v>4</x:v>
      </x:c>
      <x:c r="K49" s="18" t="n">
        <x:f>AVERAGE('ONET candidates'!L77)</x:f>
        <x:v>4</x:v>
      </x:c>
      <x:c r="L49" s="18" t="n">
        <x:f>AVERAGE('ONET candidates'!M77)</x:f>
        <x:v>5.33</x:v>
      </x:c>
      <x:c r="M49" s="2" t="str">
        <x:v>5.33–5.33</x:v>
      </x:c>
      <x:c r="N49" s="2" t="str">
        <x:v>5.33–5.33</x:v>
      </x:c>
      <x:c r="O49" s="2" t="str">
        <x:v>5.67–5.67</x:v>
      </x:c>
      <x:c r="P49" s="2" t="str">
        <x:v>4.00–4.00</x:v>
      </x:c>
      <x:c r="Q49" s="2" t="str">
        <x:v>4.00–4.00</x:v>
      </x:c>
      <x:c r="R49" s="2" t="str">
        <x:v>5.33–5.33</x:v>
      </x:c>
      <x:c r="S49" s="32" t="str">
        <x:v>full</x:v>
      </x:c>
      <x:c r="T49" s="32" t="str">
        <x:v>None</x:v>
      </x:c>
    </x:row>
    <x:row r="50" ht="34.5" customHeight="1">
      <x:c r="A50" s="15" t="str">
        <x:v>530860</x:v>
      </x:c>
      <x:c r="B50" s="12" t="str">
        <x:v>Civil engineers, including architectural and sanitary</x:v>
      </x:c>
      <x:c r="C50" s="14" t="n">
        <x:v>1429</x:v>
      </x:c>
      <x:c r="D50" s="54" t="str">
        <x:v>Single occupation</x:v>
      </x:c>
      <x:c r="E50" s="55" t="str">
        <x:v>1/1</x:v>
      </x:c>
      <x:c r="F50" s="56" t="n">
        <x:v>1</x:v>
      </x:c>
      <x:c r="G50" s="18" t="n">
        <x:f>AVERAGE('ONET candidates'!H78)</x:f>
        <x:v>5.33</x:v>
      </x:c>
      <x:c r="H50" s="18" t="n">
        <x:f>AVERAGE('ONET candidates'!I78)</x:f>
        <x:v>5.5</x:v>
      </x:c>
      <x:c r="I50" s="18" t="n">
        <x:f>AVERAGE('ONET candidates'!J78)</x:f>
        <x:v>5.33</x:v>
      </x:c>
      <x:c r="J50" s="18" t="n">
        <x:f>AVERAGE('ONET candidates'!K78)</x:f>
        <x:v>4</x:v>
      </x:c>
      <x:c r="K50" s="18" t="n">
        <x:f>AVERAGE('ONET candidates'!L78)</x:f>
        <x:v>4.67</x:v>
      </x:c>
      <x:c r="L50" s="18" t="n">
        <x:f>AVERAGE('ONET candidates'!M78)</x:f>
        <x:v>6</x:v>
      </x:c>
      <x:c r="M50" s="2" t="str">
        <x:v>5.33–5.33</x:v>
      </x:c>
      <x:c r="N50" s="2" t="str">
        <x:v>5.50–5.50</x:v>
      </x:c>
      <x:c r="O50" s="2" t="str">
        <x:v>5.33–5.33</x:v>
      </x:c>
      <x:c r="P50" s="2" t="str">
        <x:v>4.00–4.00</x:v>
      </x:c>
      <x:c r="Q50" s="2" t="str">
        <x:v>4.67–4.67</x:v>
      </x:c>
      <x:c r="R50" s="2" t="str">
        <x:v>6.00–6.00</x:v>
      </x:c>
      <x:c r="S50" s="32" t="str">
        <x:v>full</x:v>
      </x:c>
      <x:c r="T50" s="32" t="str">
        <x:v>None</x:v>
      </x:c>
    </x:row>
    <x:row r="51" ht="34.5" customHeight="1">
      <x:c r="A51" s="15" t="str">
        <x:v>540870</x:v>
      </x:c>
      <x:c r="B51" s="12" t="str">
        <x:v>Computer engineers, hardware</x:v>
      </x:c>
      <x:c r="C51" s="14" t="n">
        <x:v>436</x:v>
      </x:c>
      <x:c r="D51" s="54" t="str">
        <x:v>Single occupation</x:v>
      </x:c>
      <x:c r="E51" s="55" t="str">
        <x:v>1/1</x:v>
      </x:c>
      <x:c r="F51" s="56" t="n">
        <x:v>1</x:v>
      </x:c>
      <x:c r="G51" s="18" t="n">
        <x:f>AVERAGE('ONET candidates'!H79)</x:f>
        <x:v>5.33</x:v>
      </x:c>
      <x:c r="H51" s="18" t="n">
        <x:f>AVERAGE('ONET candidates'!I79)</x:f>
        <x:v>6</x:v>
      </x:c>
      <x:c r="I51" s="18" t="n">
        <x:f>AVERAGE('ONET candidates'!J79)</x:f>
        <x:v>5</x:v>
      </x:c>
      <x:c r="J51" s="18" t="n">
        <x:f>AVERAGE('ONET candidates'!K79)</x:f>
        <x:v>4</x:v>
      </x:c>
      <x:c r="K51" s="18" t="n">
        <x:f>AVERAGE('ONET candidates'!L79)</x:f>
        <x:v>5</x:v>
      </x:c>
      <x:c r="L51" s="18" t="n">
        <x:f>AVERAGE('ONET candidates'!M79)</x:f>
        <x:v>5</x:v>
      </x:c>
      <x:c r="M51" s="2" t="str">
        <x:v>5.33–5.33</x:v>
      </x:c>
      <x:c r="N51" s="2" t="str">
        <x:v>6.00–6.00</x:v>
      </x:c>
      <x:c r="O51" s="2" t="str">
        <x:v>5.00–5.00</x:v>
      </x:c>
      <x:c r="P51" s="2" t="str">
        <x:v>4.00–4.00</x:v>
      </x:c>
      <x:c r="Q51" s="2" t="str">
        <x:v>5.00–5.00</x:v>
      </x:c>
      <x:c r="R51" s="2" t="str">
        <x:v>5.00–5.00</x:v>
      </x:c>
      <x:c r="S51" s="32" t="str">
        <x:v>full</x:v>
      </x:c>
      <x:c r="T51" s="32" t="str">
        <x:v>None</x:v>
      </x:c>
    </x:row>
    <x:row r="52" ht="34.5" customHeight="1">
      <x:c r="A52" s="15" t="str">
        <x:v>540890</x:v>
      </x:c>
      <x:c r="B52" s="12" t="str">
        <x:v>Electrical and electronics engineers</x:v>
      </x:c>
      <x:c r="C52" s="14" t="n">
        <x:v>1916</x:v>
      </x:c>
      <x:c r="D52" s="54" t="str">
        <x:v>Occupation mean</x:v>
      </x:c>
      <x:c r="E52" s="55" t="str">
        <x:v>2/2</x:v>
      </x:c>
      <x:c r="F52" s="56" t="n">
        <x:v>1</x:v>
      </x:c>
      <x:c r="G52" s="18" t="n">
        <x:f>AVERAGE('ONET candidates'!H80,'ONET candidates'!H81)</x:f>
        <x:v>5.5</x:v>
      </x:c>
      <x:c r="H52" s="18" t="n">
        <x:f>AVERAGE('ONET candidates'!I80,'ONET candidates'!I81)</x:f>
        <x:v>5.585</x:v>
      </x:c>
      <x:c r="I52" s="18" t="n">
        <x:f>AVERAGE('ONET candidates'!J80,'ONET candidates'!J81)</x:f>
        <x:v>5.5</x:v>
      </x:c>
      <x:c r="J52" s="18" t="n">
        <x:f>AVERAGE('ONET candidates'!K80,'ONET candidates'!K81)</x:f>
        <x:v>3.83</x:v>
      </x:c>
      <x:c r="K52" s="18" t="n">
        <x:f>AVERAGE('ONET candidates'!L80,'ONET candidates'!L81)</x:f>
        <x:v>4.5</x:v>
      </x:c>
      <x:c r="L52" s="18" t="n">
        <x:f>AVERAGE('ONET candidates'!M80,'ONET candidates'!M81)</x:f>
        <x:v>5.33</x:v>
      </x:c>
      <x:c r="M52" s="2" t="str">
        <x:v>5.33–5.67</x:v>
      </x:c>
      <x:c r="N52" s="2" t="str">
        <x:v>5.50–5.67</x:v>
      </x:c>
      <x:c r="O52" s="2" t="str">
        <x:v>5.33–5.67</x:v>
      </x:c>
      <x:c r="P52" s="2" t="str">
        <x:v>3.33–4.33</x:v>
      </x:c>
      <x:c r="Q52" s="2" t="str">
        <x:v>4.33–4.67</x:v>
      </x:c>
      <x:c r="R52" s="2" t="str">
        <x:v>5.33–5.33</x:v>
      </x:c>
      <x:c r="S52" s="32" t="str">
        <x:v>full</x:v>
      </x:c>
      <x:c r="T52" s="32" t="str">
        <x:v>None</x:v>
      </x:c>
    </x:row>
    <x:row r="53" ht="34.5" customHeight="1">
      <x:c r="A53" s="15" t="str">
        <x:v>550910</x:v>
      </x:c>
      <x:c r="B53" s="12" t="str">
        <x:v>Industrial engineers, including health and safety</x:v>
      </x:c>
      <x:c r="C53" s="14" t="n">
        <x:v>336</x:v>
      </x:c>
      <x:c r="D53" s="54" t="str">
        <x:v>Occupation mean</x:v>
      </x:c>
      <x:c r="E53" s="55" t="str">
        <x:v>2/2</x:v>
      </x:c>
      <x:c r="F53" s="56" t="n">
        <x:v>1</x:v>
      </x:c>
      <x:c r="G53" s="18" t="n">
        <x:f>AVERAGE('ONET candidates'!H82,'ONET candidates'!H83)</x:f>
        <x:v>5.165</x:v>
      </x:c>
      <x:c r="H53" s="18" t="n">
        <x:f>AVERAGE('ONET candidates'!I82,'ONET candidates'!I83)</x:f>
        <x:v>5.33</x:v>
      </x:c>
      <x:c r="I53" s="18" t="n">
        <x:f>AVERAGE('ONET candidates'!J82,'ONET candidates'!J83)</x:f>
        <x:v>5.17</x:v>
      </x:c>
      <x:c r="J53" s="18" t="n">
        <x:f>AVERAGE('ONET candidates'!K82,'ONET candidates'!K83)</x:f>
        <x:v>4.17</x:v>
      </x:c>
      <x:c r="K53" s="18" t="n">
        <x:f>AVERAGE('ONET candidates'!L82,'ONET candidates'!L83)</x:f>
        <x:v>5.165</x:v>
      </x:c>
      <x:c r="L53" s="18" t="n">
        <x:f>AVERAGE('ONET candidates'!M82,'ONET candidates'!M83)</x:f>
        <x:v>5.335</x:v>
      </x:c>
      <x:c r="M53" s="2" t="str">
        <x:v>5.00–5.33</x:v>
      </x:c>
      <x:c r="N53" s="2" t="str">
        <x:v>5.33–5.33</x:v>
      </x:c>
      <x:c r="O53" s="2" t="str">
        <x:v>4.67–5.67</x:v>
      </x:c>
      <x:c r="P53" s="2" t="str">
        <x:v>3.67–4.67</x:v>
      </x:c>
      <x:c r="Q53" s="2" t="str">
        <x:v>5.00–5.33</x:v>
      </x:c>
      <x:c r="R53" s="2" t="str">
        <x:v>5.00–5.67</x:v>
      </x:c>
      <x:c r="S53" s="32" t="str">
        <x:v>full</x:v>
      </x:c>
      <x:c r="T53" s="32" t="str">
        <x:v>None</x:v>
      </x:c>
    </x:row>
    <x:row r="54" ht="34.5" customHeight="1">
      <x:c r="A54" s="15" t="str">
        <x:v>560940</x:v>
      </x:c>
      <x:c r="B54" s="12" t="str">
        <x:v>Mechanical engineers</x:v>
      </x:c>
      <x:c r="C54" s="14" t="n">
        <x:v>2106</x:v>
      </x:c>
      <x:c r="D54" s="54" t="str">
        <x:v>Single occupation</x:v>
      </x:c>
      <x:c r="E54" s="55" t="str">
        <x:v>1/1</x:v>
      </x:c>
      <x:c r="F54" s="56" t="n">
        <x:v>1</x:v>
      </x:c>
      <x:c r="G54" s="18" t="n">
        <x:f>AVERAGE('ONET candidates'!H84)</x:f>
        <x:v>5.33</x:v>
      </x:c>
      <x:c r="H54" s="18" t="n">
        <x:f>AVERAGE('ONET candidates'!I84)</x:f>
        <x:v>5.17</x:v>
      </x:c>
      <x:c r="I54" s="18" t="n">
        <x:f>AVERAGE('ONET candidates'!J84)</x:f>
        <x:v>5.67</x:v>
      </x:c>
      <x:c r="J54" s="18" t="n">
        <x:f>AVERAGE('ONET candidates'!K84)</x:f>
        <x:v>4.67</x:v>
      </x:c>
      <x:c r="K54" s="18" t="n">
        <x:f>AVERAGE('ONET candidates'!L84)</x:f>
        <x:v>4.67</x:v>
      </x:c>
      <x:c r="L54" s="18" t="n">
        <x:f>AVERAGE('ONET candidates'!M84)</x:f>
        <x:v>5.33</x:v>
      </x:c>
      <x:c r="M54" s="2" t="str">
        <x:v>5.33–5.33</x:v>
      </x:c>
      <x:c r="N54" s="2" t="str">
        <x:v>5.17–5.17</x:v>
      </x:c>
      <x:c r="O54" s="2" t="str">
        <x:v>5.67–5.67</x:v>
      </x:c>
      <x:c r="P54" s="2" t="str">
        <x:v>4.67–4.67</x:v>
      </x:c>
      <x:c r="Q54" s="2" t="str">
        <x:v>4.67–4.67</x:v>
      </x:c>
      <x:c r="R54" s="2" t="str">
        <x:v>5.33–5.33</x:v>
      </x:c>
      <x:c r="S54" s="32" t="str">
        <x:v>full</x:v>
      </x:c>
      <x:c r="T54" s="32" t="str">
        <x:v>None</x:v>
      </x:c>
    </x:row>
    <x:row r="55" ht="34.5" customHeight="1">
      <x:c r="A55" s="15" t="str">
        <x:v>570840</x:v>
      </x:c>
      <x:c r="B55" s="12" t="str">
        <x:v>Bioengineers and biomedical engineers</x:v>
      </x:c>
      <x:c r="C55" s="14" t="n">
        <x:v>278</x:v>
      </x:c>
      <x:c r="D55" s="54" t="str">
        <x:v>Single occupation</x:v>
      </x:c>
      <x:c r="E55" s="55" t="str">
        <x:v>1/1</x:v>
      </x:c>
      <x:c r="F55" s="56" t="n">
        <x:v>1</x:v>
      </x:c>
      <x:c r="G55" s="18" t="n">
        <x:f>AVERAGE('ONET candidates'!H85)</x:f>
        <x:v>5.33</x:v>
      </x:c>
      <x:c r="H55" s="18" t="n">
        <x:f>AVERAGE('ONET candidates'!I85)</x:f>
        <x:v>5.33</x:v>
      </x:c>
      <x:c r="I55" s="18" t="n">
        <x:f>AVERAGE('ONET candidates'!J85)</x:f>
        <x:v>5</x:v>
      </x:c>
      <x:c r="J55" s="18" t="n">
        <x:f>AVERAGE('ONET candidates'!K85)</x:f>
        <x:v>5</x:v>
      </x:c>
      <x:c r="K55" s="18" t="n">
        <x:f>AVERAGE('ONET candidates'!L85)</x:f>
        <x:v>5</x:v>
      </x:c>
      <x:c r="L55" s="18" t="n">
        <x:f>AVERAGE('ONET candidates'!M85)</x:f>
        <x:v>6</x:v>
      </x:c>
      <x:c r="M55" s="2" t="str">
        <x:v>5.33–5.33</x:v>
      </x:c>
      <x:c r="N55" s="2" t="str">
        <x:v>5.33–5.33</x:v>
      </x:c>
      <x:c r="O55" s="2" t="str">
        <x:v>5.00–5.00</x:v>
      </x:c>
      <x:c r="P55" s="2" t="str">
        <x:v>5.00–5.00</x:v>
      </x:c>
      <x:c r="Q55" s="2" t="str">
        <x:v>5.00–5.00</x:v>
      </x:c>
      <x:c r="R55" s="2" t="str">
        <x:v>6.00–6.00</x:v>
      </x:c>
      <x:c r="S55" s="32" t="str">
        <x:v>full</x:v>
      </x:c>
      <x:c r="T55" s="32" t="str">
        <x:v>None</x:v>
      </x:c>
    </x:row>
    <x:row r="56" ht="34.5" customHeight="1">
      <x:c r="A56" s="15" t="str">
        <x:v>570900</x:v>
      </x:c>
      <x:c r="B56" s="12" t="str">
        <x:v>Environmental engineers</x:v>
      </x:c>
      <x:c r="C56" s="14" t="n">
        <x:v>249</x:v>
      </x:c>
      <x:c r="D56" s="54" t="str">
        <x:v>Single occupation</x:v>
      </x:c>
      <x:c r="E56" s="55" t="str">
        <x:v>1/1</x:v>
      </x:c>
      <x:c r="F56" s="56" t="n">
        <x:v>1</x:v>
      </x:c>
      <x:c r="G56" s="18" t="n">
        <x:f>AVERAGE('ONET candidates'!H86)</x:f>
        <x:v>5.67</x:v>
      </x:c>
      <x:c r="H56" s="18" t="n">
        <x:f>AVERAGE('ONET candidates'!I86)</x:f>
        <x:v>5.67</x:v>
      </x:c>
      <x:c r="I56" s="18" t="n">
        <x:f>AVERAGE('ONET candidates'!J86)</x:f>
        <x:v>5.67</x:v>
      </x:c>
      <x:c r="J56" s="18" t="n">
        <x:f>AVERAGE('ONET candidates'!K86)</x:f>
        <x:v>4.33</x:v>
      </x:c>
      <x:c r="K56" s="18" t="n">
        <x:f>AVERAGE('ONET candidates'!L86)</x:f>
        <x:v>4.33</x:v>
      </x:c>
      <x:c r="L56" s="18" t="n">
        <x:f>AVERAGE('ONET candidates'!M86)</x:f>
        <x:v>5</x:v>
      </x:c>
      <x:c r="M56" s="2" t="str">
        <x:v>5.67–5.67</x:v>
      </x:c>
      <x:c r="N56" s="2" t="str">
        <x:v>5.67–5.67</x:v>
      </x:c>
      <x:c r="O56" s="2" t="str">
        <x:v>5.67–5.67</x:v>
      </x:c>
      <x:c r="P56" s="2" t="str">
        <x:v>4.33–4.33</x:v>
      </x:c>
      <x:c r="Q56" s="2" t="str">
        <x:v>4.33–4.33</x:v>
      </x:c>
      <x:c r="R56" s="2" t="str">
        <x:v>5.00–5.00</x:v>
      </x:c>
      <x:c r="S56" s="32" t="str">
        <x:v>full</x:v>
      </x:c>
      <x:c r="T56" s="32" t="str">
        <x:v>None</x:v>
      </x:c>
    </x:row>
    <x:row r="57" ht="34.5" customHeight="1">
      <x:c r="A57" s="15" t="str">
        <x:v>570920</x:v>
      </x:c>
      <x:c r="B57" s="12" t="str">
        <x:v>Marine engineers and naval architects</x:v>
      </x:c>
      <x:c r="C57" s="14" t="n">
        <x:v>38</x:v>
      </x:c>
      <x:c r="D57" s="54" t="str">
        <x:v>Single occupation</x:v>
      </x:c>
      <x:c r="E57" s="55" t="str">
        <x:v>1/1</x:v>
      </x:c>
      <x:c r="F57" s="56" t="n">
        <x:v>1</x:v>
      </x:c>
      <x:c r="G57" s="18" t="n">
        <x:f>AVERAGE('ONET candidates'!H87)</x:f>
        <x:v>5.5</x:v>
      </x:c>
      <x:c r="H57" s="18" t="n">
        <x:f>AVERAGE('ONET candidates'!I87)</x:f>
        <x:v>5.17</x:v>
      </x:c>
      <x:c r="I57" s="18" t="n">
        <x:f>AVERAGE('ONET candidates'!J87)</x:f>
        <x:v>5.5</x:v>
      </x:c>
      <x:c r="J57" s="18" t="n">
        <x:f>AVERAGE('ONET candidates'!K87)</x:f>
        <x:v>4.33</x:v>
      </x:c>
      <x:c r="K57" s="18" t="n">
        <x:f>AVERAGE('ONET candidates'!L87)</x:f>
        <x:v>4.83</x:v>
      </x:c>
      <x:c r="L57" s="18" t="n">
        <x:f>AVERAGE('ONET candidates'!M87)</x:f>
        <x:v>5.67</x:v>
      </x:c>
      <x:c r="M57" s="2" t="str">
        <x:v>5.50–5.50</x:v>
      </x:c>
      <x:c r="N57" s="2" t="str">
        <x:v>5.17–5.17</x:v>
      </x:c>
      <x:c r="O57" s="2" t="str">
        <x:v>5.50–5.50</x:v>
      </x:c>
      <x:c r="P57" s="2" t="str">
        <x:v>4.33–4.33</x:v>
      </x:c>
      <x:c r="Q57" s="2" t="str">
        <x:v>4.83–4.83</x:v>
      </x:c>
      <x:c r="R57" s="2" t="str">
        <x:v>5.67–5.67</x:v>
      </x:c>
      <x:c r="S57" s="32" t="str">
        <x:v>full</x:v>
      </x:c>
      <x:c r="T57" s="32" t="str">
        <x:v>None</x:v>
      </x:c>
    </x:row>
    <x:row r="58" ht="34.5" customHeight="1">
      <x:c r="A58" s="15" t="str">
        <x:v>570930</x:v>
      </x:c>
      <x:c r="B58" s="12" t="str">
        <x:v>Materials engineers</x:v>
      </x:c>
      <x:c r="C58" s="14" t="n">
        <x:v>246</x:v>
      </x:c>
      <x:c r="D58" s="54" t="str">
        <x:v>Single occupation</x:v>
      </x:c>
      <x:c r="E58" s="55" t="str">
        <x:v>1/1</x:v>
      </x:c>
      <x:c r="F58" s="56" t="n">
        <x:v>1</x:v>
      </x:c>
      <x:c r="G58" s="18" t="n">
        <x:f>AVERAGE('ONET candidates'!H88)</x:f>
        <x:v>5</x:v>
      </x:c>
      <x:c r="H58" s="18" t="n">
        <x:f>AVERAGE('ONET candidates'!I88)</x:f>
        <x:v>5.33</x:v>
      </x:c>
      <x:c r="I58" s="18" t="n">
        <x:f>AVERAGE('ONET candidates'!J88)</x:f>
        <x:v>4.67</x:v>
      </x:c>
      <x:c r="J58" s="18" t="n">
        <x:f>AVERAGE('ONET candidates'!K88)</x:f>
        <x:v>3</x:v>
      </x:c>
      <x:c r="K58" s="18" t="n">
        <x:f>AVERAGE('ONET candidates'!L88)</x:f>
        <x:v>5.67</x:v>
      </x:c>
      <x:c r="L58" s="18" t="n">
        <x:f>AVERAGE('ONET candidates'!M88)</x:f>
        <x:v>5.33</x:v>
      </x:c>
      <x:c r="M58" s="2" t="str">
        <x:v>5.00–5.00</x:v>
      </x:c>
      <x:c r="N58" s="2" t="str">
        <x:v>5.33–5.33</x:v>
      </x:c>
      <x:c r="O58" s="2" t="str">
        <x:v>4.67–4.67</x:v>
      </x:c>
      <x:c r="P58" s="2" t="str">
        <x:v>3.00–3.00</x:v>
      </x:c>
      <x:c r="Q58" s="2" t="str">
        <x:v>5.67–5.67</x:v>
      </x:c>
      <x:c r="R58" s="2" t="str">
        <x:v>5.33–5.33</x:v>
      </x:c>
      <x:c r="S58" s="32" t="str">
        <x:v>full</x:v>
      </x:c>
      <x:c r="T58" s="32" t="str">
        <x:v>None</x:v>
      </x:c>
    </x:row>
    <x:row r="59" ht="34.5" customHeight="1">
      <x:c r="A59" s="15" t="str">
        <x:v>570950</x:v>
      </x:c>
      <x:c r="B59" s="12" t="str">
        <x:v>Mining and geological engineers, including mining safety engineers</x:v>
      </x:c>
      <x:c r="C59" s="14" t="n">
        <x:v>33</x:v>
      </x:c>
      <x:c r="D59" s="54" t="str">
        <x:v>Single occupation</x:v>
      </x:c>
      <x:c r="E59" s="55" t="str">
        <x:v>1/1</x:v>
      </x:c>
      <x:c r="F59" s="56" t="n">
        <x:v>1</x:v>
      </x:c>
      <x:c r="G59" s="18" t="n">
        <x:f>AVERAGE('ONET candidates'!H89)</x:f>
        <x:v>5</x:v>
      </x:c>
      <x:c r="H59" s="18" t="n">
        <x:f>AVERAGE('ONET candidates'!I89)</x:f>
        <x:v>5.83</x:v>
      </x:c>
      <x:c r="I59" s="18" t="n">
        <x:f>AVERAGE('ONET candidates'!J89)</x:f>
        <x:v>5</x:v>
      </x:c>
      <x:c r="J59" s="18" t="n">
        <x:f>AVERAGE('ONET candidates'!K89)</x:f>
        <x:v>3.67</x:v>
      </x:c>
      <x:c r="K59" s="18" t="n">
        <x:f>AVERAGE('ONET candidates'!L89)</x:f>
        <x:v>5.67</x:v>
      </x:c>
      <x:c r="L59" s="18" t="n">
        <x:f>AVERAGE('ONET candidates'!M89)</x:f>
        <x:v>5.33</x:v>
      </x:c>
      <x:c r="M59" s="2" t="str">
        <x:v>5.00–5.00</x:v>
      </x:c>
      <x:c r="N59" s="2" t="str">
        <x:v>5.83–5.83</x:v>
      </x:c>
      <x:c r="O59" s="2" t="str">
        <x:v>5.00–5.00</x:v>
      </x:c>
      <x:c r="P59" s="2" t="str">
        <x:v>3.67–3.67</x:v>
      </x:c>
      <x:c r="Q59" s="2" t="str">
        <x:v>5.67–5.67</x:v>
      </x:c>
      <x:c r="R59" s="2" t="str">
        <x:v>5.33–5.33</x:v>
      </x:c>
      <x:c r="S59" s="32" t="str">
        <x:v>full</x:v>
      </x:c>
      <x:c r="T59" s="32" t="str">
        <x:v>None</x:v>
      </x:c>
    </x:row>
    <x:row r="60" ht="34.5" customHeight="1">
      <x:c r="A60" s="15" t="str">
        <x:v>570960</x:v>
      </x:c>
      <x:c r="B60" s="12" t="str">
        <x:v>Nuclear engineers</x:v>
      </x:c>
      <x:c r="C60" s="14" t="n">
        <x:v>94</x:v>
      </x:c>
      <x:c r="D60" s="54" t="str">
        <x:v>Single occupation</x:v>
      </x:c>
      <x:c r="E60" s="55" t="str">
        <x:v>1/1</x:v>
      </x:c>
      <x:c r="F60" s="56" t="n">
        <x:v>1</x:v>
      </x:c>
      <x:c r="G60" s="18" t="n">
        <x:f>AVERAGE('ONET candidates'!H90)</x:f>
        <x:v>5.67</x:v>
      </x:c>
      <x:c r="H60" s="18" t="n">
        <x:f>AVERAGE('ONET candidates'!I90)</x:f>
        <x:v>5.17</x:v>
      </x:c>
      <x:c r="I60" s="18" t="n">
        <x:f>AVERAGE('ONET candidates'!J90)</x:f>
        <x:v>5.67</x:v>
      </x:c>
      <x:c r="J60" s="18" t="n">
        <x:f>AVERAGE('ONET candidates'!K90)</x:f>
        <x:v>2.33</x:v>
      </x:c>
      <x:c r="K60" s="18" t="n">
        <x:f>AVERAGE('ONET candidates'!L90)</x:f>
        <x:v>5.33</x:v>
      </x:c>
      <x:c r="L60" s="18" t="n">
        <x:f>AVERAGE('ONET candidates'!M90)</x:f>
        <x:v>5</x:v>
      </x:c>
      <x:c r="M60" s="2" t="str">
        <x:v>5.67–5.67</x:v>
      </x:c>
      <x:c r="N60" s="2" t="str">
        <x:v>5.17–5.17</x:v>
      </x:c>
      <x:c r="O60" s="2" t="str">
        <x:v>5.67–5.67</x:v>
      </x:c>
      <x:c r="P60" s="2" t="str">
        <x:v>2.33–2.33</x:v>
      </x:c>
      <x:c r="Q60" s="2" t="str">
        <x:v>5.33–5.33</x:v>
      </x:c>
      <x:c r="R60" s="2" t="str">
        <x:v>5.00–5.00</x:v>
      </x:c>
      <x:c r="S60" s="32" t="str">
        <x:v>full</x:v>
      </x:c>
      <x:c r="T60" s="32" t="str">
        <x:v>None</x:v>
      </x:c>
    </x:row>
    <x:row r="61" ht="34.5" customHeight="1">
      <x:c r="A61" s="15" t="str">
        <x:v>570970</x:v>
      </x:c>
      <x:c r="B61" s="12" t="str">
        <x:v>Petroleum engineers</x:v>
      </x:c>
      <x:c r="C61" s="14" t="n">
        <x:v>72</x:v>
      </x:c>
      <x:c r="D61" s="54" t="str">
        <x:v>Single occupation</x:v>
      </x:c>
      <x:c r="E61" s="55" t="str">
        <x:v>1/1</x:v>
      </x:c>
      <x:c r="F61" s="56" t="n">
        <x:v>1</x:v>
      </x:c>
      <x:c r="G61" s="18" t="n">
        <x:f>AVERAGE('ONET candidates'!H91)</x:f>
        <x:v>5.33</x:v>
      </x:c>
      <x:c r="H61" s="18" t="n">
        <x:f>AVERAGE('ONET candidates'!I91)</x:f>
        <x:v>5.67</x:v>
      </x:c>
      <x:c r="I61" s="18" t="n">
        <x:f>AVERAGE('ONET candidates'!J91)</x:f>
        <x:v>5.33</x:v>
      </x:c>
      <x:c r="J61" s="18" t="n">
        <x:f>AVERAGE('ONET candidates'!K91)</x:f>
        <x:v>3.67</x:v>
      </x:c>
      <x:c r="K61" s="18" t="n">
        <x:f>AVERAGE('ONET candidates'!L91)</x:f>
        <x:v>5</x:v>
      </x:c>
      <x:c r="L61" s="18" t="n">
        <x:f>AVERAGE('ONET candidates'!M91)</x:f>
        <x:v>5.67</x:v>
      </x:c>
      <x:c r="M61" s="2" t="str">
        <x:v>5.33–5.33</x:v>
      </x:c>
      <x:c r="N61" s="2" t="str">
        <x:v>5.67–5.67</x:v>
      </x:c>
      <x:c r="O61" s="2" t="str">
        <x:v>5.33–5.33</x:v>
      </x:c>
      <x:c r="P61" s="2" t="str">
        <x:v>3.67–3.67</x:v>
      </x:c>
      <x:c r="Q61" s="2" t="str">
        <x:v>5.00–5.00</x:v>
      </x:c>
      <x:c r="R61" s="2" t="str">
        <x:v>5.67–5.67</x:v>
      </x:c>
      <x:c r="S61" s="32" t="str">
        <x:v>full</x:v>
      </x:c>
      <x:c r="T61" s="32" t="str">
        <x:v>None</x:v>
      </x:c>
    </x:row>
    <x:row r="62" ht="34.5" customHeight="1">
      <x:c r="A62" s="15" t="str">
        <x:v>570980</x:v>
      </x:c>
      <x:c r="B62" s="12" t="str">
        <x:v>Sales engineers</x:v>
      </x:c>
      <x:c r="C62" s="14" t="n">
        <x:v>223</x:v>
      </x:c>
      <x:c r="D62" s="54" t="str">
        <x:v>Single occupation</x:v>
      </x:c>
      <x:c r="E62" s="55" t="str">
        <x:v>1/1</x:v>
      </x:c>
      <x:c r="F62" s="56" t="n">
        <x:v>1</x:v>
      </x:c>
      <x:c r="G62" s="18" t="n">
        <x:f>AVERAGE('ONET candidates'!H92)</x:f>
        <x:v>5.67</x:v>
      </x:c>
      <x:c r="H62" s="18" t="n">
        <x:f>AVERAGE('ONET candidates'!I92)</x:f>
        <x:v>5.33</x:v>
      </x:c>
      <x:c r="I62" s="18" t="n">
        <x:f>AVERAGE('ONET candidates'!J92)</x:f>
        <x:v>4.67</x:v>
      </x:c>
      <x:c r="J62" s="18" t="n">
        <x:f>AVERAGE('ONET candidates'!K92)</x:f>
        <x:v>5.33</x:v>
      </x:c>
      <x:c r="K62" s="18" t="n">
        <x:f>AVERAGE('ONET candidates'!L92)</x:f>
        <x:v>4.33</x:v>
      </x:c>
      <x:c r="L62" s="18" t="n">
        <x:f>AVERAGE('ONET candidates'!M92)</x:f>
        <x:v>4.67</x:v>
      </x:c>
      <x:c r="M62" s="2" t="str">
        <x:v>5.67–5.67</x:v>
      </x:c>
      <x:c r="N62" s="2" t="str">
        <x:v>5.33–5.33</x:v>
      </x:c>
      <x:c r="O62" s="2" t="str">
        <x:v>4.67–4.67</x:v>
      </x:c>
      <x:c r="P62" s="2" t="str">
        <x:v>5.33–5.33</x:v>
      </x:c>
      <x:c r="Q62" s="2" t="str">
        <x:v>4.33–4.33</x:v>
      </x:c>
      <x:c r="R62" s="2" t="str">
        <x:v>4.67–4.67</x:v>
      </x:c>
      <x:c r="S62" s="32" t="str">
        <x:v>full</x:v>
      </x:c>
      <x:c r="T62" s="32" t="str">
        <x:v>None</x:v>
      </x:c>
    </x:row>
    <x:row r="63" ht="34.5" customHeight="1">
      <x:c r="A63" s="15" t="str">
        <x:v>570990</x:v>
      </x:c>
      <x:c r="B63" s="12" t="str">
        <x:v>Other engineers, including agriculturalc</x:v>
      </x:c>
      <x:c r="C63" s="14" t="n">
        <x:v>806</x:v>
      </x:c>
      <x:c r="D63" s="54" t="str">
        <x:v>Only rated member</x:v>
      </x:c>
      <x:c r="E63" s="60" t="str">
        <x:v>1/2</x:v>
      </x:c>
      <x:c r="F63" s="61" t="n">
        <x:v>0.5</x:v>
      </x:c>
      <x:c r="G63" s="18" t="n">
        <x:f>AVERAGE('ONET candidates'!H93)</x:f>
        <x:v>5.33</x:v>
      </x:c>
      <x:c r="H63" s="18" t="n">
        <x:f>AVERAGE('ONET candidates'!I93)</x:f>
        <x:v>5.67</x:v>
      </x:c>
      <x:c r="I63" s="18" t="n">
        <x:f>AVERAGE('ONET candidates'!J93)</x:f>
        <x:v>4.67</x:v>
      </x:c>
      <x:c r="J63" s="18" t="n">
        <x:f>AVERAGE('ONET candidates'!K93)</x:f>
        <x:v>3.33</x:v>
      </x:c>
      <x:c r="K63" s="18" t="n">
        <x:f>AVERAGE('ONET candidates'!L93)</x:f>
        <x:v>3.67</x:v>
      </x:c>
      <x:c r="L63" s="18" t="n">
        <x:f>AVERAGE('ONET candidates'!M93)</x:f>
        <x:v>5.67</x:v>
      </x:c>
      <x:c r="M63" s="2" t="str">
        <x:v>5.33–5.33</x:v>
      </x:c>
      <x:c r="N63" s="2" t="str">
        <x:v>5.67–5.67</x:v>
      </x:c>
      <x:c r="O63" s="2" t="str">
        <x:v>4.67–4.67</x:v>
      </x:c>
      <x:c r="P63" s="2" t="str">
        <x:v>3.33–3.33</x:v>
      </x:c>
      <x:c r="Q63" s="2" t="str">
        <x:v>3.67–3.67</x:v>
      </x:c>
      <x:c r="R63" s="2" t="str">
        <x:v>5.67–5.67</x:v>
      </x:c>
      <x:c r="S63" s="32" t="str">
        <x:v>partial</x:v>
      </x:c>
      <x:c r="T63" s="62" t="str">
        <x:v>Only one rated member</x:v>
      </x:c>
    </x:row>
    <x:row r="64" ht="34.5" customHeight="1">
      <x:c r="A64" s="15" t="str">
        <x:v>582800</x:v>
      </x:c>
      <x:c r="B64" s="12" t="str">
        <x:v>Postsecondary teachers - Engineering</x:v>
      </x:c>
      <x:c r="C64" s="14" t="n">
        <x:v>294</x:v>
      </x:c>
      <x:c r="D64" s="54" t="str">
        <x:v>Single occupation</x:v>
      </x:c>
      <x:c r="E64" s="55" t="str">
        <x:v>1/1</x:v>
      </x:c>
      <x:c r="F64" s="56" t="n">
        <x:v>1</x:v>
      </x:c>
      <x:c r="G64" s="18" t="n">
        <x:f>AVERAGE('ONET candidates'!H95)</x:f>
        <x:v>5.67</x:v>
      </x:c>
      <x:c r="H64" s="18" t="n">
        <x:f>AVERAGE('ONET candidates'!I95)</x:f>
        <x:v>5.17</x:v>
      </x:c>
      <x:c r="I64" s="18" t="n">
        <x:f>AVERAGE('ONET candidates'!J95)</x:f>
        <x:v>5.67</x:v>
      </x:c>
      <x:c r="J64" s="18" t="n">
        <x:f>AVERAGE('ONET candidates'!K95)</x:f>
        <x:v>4.33</x:v>
      </x:c>
      <x:c r="K64" s="18" t="n">
        <x:f>AVERAGE('ONET candidates'!L95)</x:f>
        <x:v>2.33</x:v>
      </x:c>
      <x:c r="L64" s="18" t="n">
        <x:f>AVERAGE('ONET candidates'!M95)</x:f>
        <x:v>5.67</x:v>
      </x:c>
      <x:c r="M64" s="2" t="str">
        <x:v>5.67–5.67</x:v>
      </x:c>
      <x:c r="N64" s="2" t="str">
        <x:v>5.17–5.17</x:v>
      </x:c>
      <x:c r="O64" s="2" t="str">
        <x:v>5.67–5.67</x:v>
      </x:c>
      <x:c r="P64" s="2" t="str">
        <x:v>4.33–4.33</x:v>
      </x:c>
      <x:c r="Q64" s="2" t="str">
        <x:v>2.33–2.33</x:v>
      </x:c>
      <x:c r="R64" s="2" t="str">
        <x:v>5.67–5.67</x:v>
      </x:c>
      <x:c r="S64" s="32" t="str">
        <x:v>full</x:v>
      </x:c>
      <x:c r="T64" s="32" t="str">
        <x:v>None</x:v>
      </x:c>
    </x:row>
    <x:row r="65" ht="37.5" customHeight="1">
      <x:c r="A65" s="15" t="str">
        <x:v>611110</x:v>
      </x:c>
      <x:c r="B65" s="12" t="str">
        <x:v>Diagnosing/treating practitioners (e.g., dentists, optometrists, physicians, psychiatrists, podiatrists, surgeons, veterinarians) </x:v>
      </x:c>
      <x:c r="C65" s="14" t="n">
        <x:v>1564</x:v>
      </x:c>
      <x:c r="D65" s="54" t="str">
        <x:v>Occupation mean</x:v>
      </x:c>
      <x:c r="E65" s="60" t="str">
        <x:v>21/29</x:v>
      </x:c>
      <x:c r="F65" s="61" t="n">
        <x:v>0.7241379310344828</x:v>
      </x:c>
      <x:c r="G65" s="18" t="n">
        <x:f>AVERAGE('ONET candidates'!H96,'ONET candidates'!H97,'ONET candidates'!H98,'ONET candidates'!H99,'ONET candidates'!H100,'ONET candidates'!H102,'ONET candidates'!H103,'ONET candidates'!H104,'ONET candidates'!H105,'ONET candidates'!H106,'ONET candidates'!H108,'ONET candidates'!H110,'ONET candidates'!H111,'ONET candidates'!H112,'ONET candidates'!H113,'ONET candidates'!H114,'ONET candidates'!H115,'ONET candidates'!H116,'ONET candidates'!H117,'ONET candidates'!H119,'ONET candidates'!H123)</x:f>
        <x:v>6.031904761904762</x:v>
      </x:c>
      <x:c r="H65" s="18" t="n">
        <x:f>AVERAGE('ONET candidates'!I96,'ONET candidates'!I97,'ONET candidates'!I98,'ONET candidates'!I99,'ONET candidates'!I100,'ONET candidates'!I102,'ONET candidates'!I103,'ONET candidates'!I104,'ONET candidates'!I105,'ONET candidates'!I106,'ONET candidates'!I108,'ONET candidates'!I110,'ONET candidates'!I111,'ONET candidates'!I112,'ONET candidates'!I113,'ONET candidates'!I114,'ONET candidates'!I115,'ONET candidates'!I116,'ONET candidates'!I117,'ONET candidates'!I119,'ONET candidates'!I123)</x:f>
        <x:v>5.642857142857143</x:v>
      </x:c>
      <x:c r="I65" s="18" t="n">
        <x:f>AVERAGE('ONET candidates'!J96,'ONET candidates'!J97,'ONET candidates'!J98,'ONET candidates'!J99,'ONET candidates'!J100,'ONET candidates'!J102,'ONET candidates'!J103,'ONET candidates'!J104,'ONET candidates'!J105,'ONET candidates'!J106,'ONET candidates'!J108,'ONET candidates'!J110,'ONET candidates'!J111,'ONET candidates'!J112,'ONET candidates'!J113,'ONET candidates'!J114,'ONET candidates'!J115,'ONET candidates'!J116,'ONET candidates'!J117,'ONET candidates'!J119,'ONET candidates'!J123)</x:f>
        <x:v>5.7457142857142856</x:v>
      </x:c>
      <x:c r="J65" s="18" t="n">
        <x:f>AVERAGE('ONET candidates'!K96,'ONET candidates'!K97,'ONET candidates'!K98,'ONET candidates'!K99,'ONET candidates'!K100,'ONET candidates'!K102,'ONET candidates'!K103,'ONET candidates'!K104,'ONET candidates'!K105,'ONET candidates'!K106,'ONET candidates'!K108,'ONET candidates'!K110,'ONET candidates'!K111,'ONET candidates'!K112,'ONET candidates'!K113,'ONET candidates'!K114,'ONET candidates'!K115,'ONET candidates'!K116,'ONET candidates'!K117,'ONET candidates'!K119,'ONET candidates'!K123)</x:f>
        <x:v>5.8566666666666665</x:v>
      </x:c>
      <x:c r="K65" s="18" t="n">
        <x:f>AVERAGE('ONET candidates'!L96,'ONET candidates'!L97,'ONET candidates'!L98,'ONET candidates'!L99,'ONET candidates'!L100,'ONET candidates'!L102,'ONET candidates'!L103,'ONET candidates'!L104,'ONET candidates'!L105,'ONET candidates'!L106,'ONET candidates'!L108,'ONET candidates'!L110,'ONET candidates'!L111,'ONET candidates'!L112,'ONET candidates'!L113,'ONET candidates'!L114,'ONET candidates'!L115,'ONET candidates'!L116,'ONET candidates'!L117,'ONET candidates'!L119,'ONET candidates'!L123)</x:f>
        <x:v>4.69904761904762</x:v>
      </x:c>
      <x:c r="L65" s="18" t="n">
        <x:f>AVERAGE('ONET candidates'!M96,'ONET candidates'!M97,'ONET candidates'!M98,'ONET candidates'!M99,'ONET candidates'!M100,'ONET candidates'!M102,'ONET candidates'!M103,'ONET candidates'!M104,'ONET candidates'!M105,'ONET candidates'!M106,'ONET candidates'!M108,'ONET candidates'!M110,'ONET candidates'!M111,'ONET candidates'!M112,'ONET candidates'!M113,'ONET candidates'!M114,'ONET candidates'!M115,'ONET candidates'!M116,'ONET candidates'!M117,'ONET candidates'!M119,'ONET candidates'!M123)</x:f>
        <x:v>5.99952380952381</x:v>
      </x:c>
      <x:c r="M65" s="2" t="str">
        <x:v>5.00–7.00</x:v>
      </x:c>
      <x:c r="N65" s="2" t="str">
        <x:v>4.50–6.17</x:v>
      </x:c>
      <x:c r="O65" s="2" t="str">
        <x:v>4.00–6.67</x:v>
      </x:c>
      <x:c r="P65" s="2" t="str">
        <x:v>4.33–6.67</x:v>
      </x:c>
      <x:c r="Q65" s="2" t="str">
        <x:v>3.33–5.67</x:v>
      </x:c>
      <x:c r="R65" s="2" t="str">
        <x:v>5.00–6.67</x:v>
      </x:c>
      <x:c r="S65" s="32" t="str">
        <x:v>partial</x:v>
      </x:c>
      <x:c r="T65" s="62" t="str">
        <x:v>Audiologists in diagnosing/treating</x:v>
      </x:c>
    </x:row>
    <x:row r="66" ht="37.5" customHeight="1">
      <x:c r="A66" s="15" t="str">
        <x:v>611120</x:v>
      </x:c>
      <x:c r="B66" s="12" t="str">
        <x:v>Registered nurses, pharmacists, dieticians, therapists, physician assistants, nurse practitioners</x:v>
      </x:c>
      <x:c r="C66" s="14" t="n">
        <x:v>4048</x:v>
      </x:c>
      <x:c r="D66" s="54" t="str">
        <x:v>Occupation mean</x:v>
      </x:c>
      <x:c r="E66" s="60" t="str">
        <x:v>14/15</x:v>
      </x:c>
      <x:c r="F66" s="61" t="n">
        <x:v>0.9333333333333333</x:v>
      </x:c>
      <x:c r="G66" s="18" t="n">
        <x:f>AVERAGE('ONET candidates'!H125,'ONET candidates'!H126,'ONET candidates'!H127,'ONET candidates'!H128,'ONET candidates'!H129,'ONET candidates'!H130,'ONET candidates'!H131,'ONET candidates'!H132,'ONET candidates'!H133,'ONET candidates'!H134,'ONET candidates'!H136,'ONET candidates'!H137,'ONET candidates'!H138,'ONET candidates'!H139)</x:f>
        <x:v>5.286428571428572</x:v>
      </x:c>
      <x:c r="H66" s="18" t="n">
        <x:f>AVERAGE('ONET candidates'!I125,'ONET candidates'!I126,'ONET candidates'!I127,'ONET candidates'!I128,'ONET candidates'!I129,'ONET candidates'!I130,'ONET candidates'!I131,'ONET candidates'!I132,'ONET candidates'!I133,'ONET candidates'!I134,'ONET candidates'!I136,'ONET candidates'!I137,'ONET candidates'!I138,'ONET candidates'!I139)</x:f>
        <x:v>4.917142857142857</x:v>
      </x:c>
      <x:c r="I66" s="18" t="n">
        <x:f>AVERAGE('ONET candidates'!J125,'ONET candidates'!J126,'ONET candidates'!J127,'ONET candidates'!J128,'ONET candidates'!J129,'ONET candidates'!J130,'ONET candidates'!J131,'ONET candidates'!J132,'ONET candidates'!J133,'ONET candidates'!J134,'ONET candidates'!J136,'ONET candidates'!J137,'ONET candidates'!J138,'ONET candidates'!J139)</x:f>
        <x:v>4.762857142857143</x:v>
      </x:c>
      <x:c r="J66" s="18" t="n">
        <x:f>AVERAGE('ONET candidates'!K125,'ONET candidates'!K126,'ONET candidates'!K127,'ONET candidates'!K128,'ONET candidates'!K129,'ONET candidates'!K130,'ONET candidates'!K131,'ONET candidates'!K132,'ONET candidates'!K133,'ONET candidates'!K134,'ONET candidates'!K136,'ONET candidates'!K137,'ONET candidates'!K138,'ONET candidates'!K139)</x:f>
        <x:v>6.262142857142857</x:v>
      </x:c>
      <x:c r="K66" s="18" t="n">
        <x:f>AVERAGE('ONET candidates'!L125,'ONET candidates'!L126,'ONET candidates'!L127,'ONET candidates'!L128,'ONET candidates'!L129,'ONET candidates'!L130,'ONET candidates'!L131,'ONET candidates'!L132,'ONET candidates'!L133,'ONET candidates'!L134,'ONET candidates'!L136,'ONET candidates'!L137,'ONET candidates'!L138,'ONET candidates'!L139)</x:f>
        <x:v>4.880714285714285</x:v>
      </x:c>
      <x:c r="L66" s="18" t="n">
        <x:f>AVERAGE('ONET candidates'!M125,'ONET candidates'!M126,'ONET candidates'!M127,'ONET candidates'!M128,'ONET candidates'!M129,'ONET candidates'!M130,'ONET candidates'!M131,'ONET candidates'!M132,'ONET candidates'!M133,'ONET candidates'!M134,'ONET candidates'!M136,'ONET candidates'!M137,'ONET candidates'!M138,'ONET candidates'!M139)</x:f>
        <x:v>5.0721428571428575</x:v>
      </x:c>
      <x:c r="M66" s="2" t="str">
        <x:v>4.33–6.00</x:v>
      </x:c>
      <x:c r="N66" s="2" t="str">
        <x:v>4.00–5.83</x:v>
      </x:c>
      <x:c r="O66" s="2" t="str">
        <x:v>4.00–5.67</x:v>
      </x:c>
      <x:c r="P66" s="2" t="str">
        <x:v>5.00–7.00</x:v>
      </x:c>
      <x:c r="Q66" s="2" t="str">
        <x:v>3.33–6.33</x:v>
      </x:c>
      <x:c r="R66" s="2" t="str">
        <x:v>4.00–5.67</x:v>
      </x:c>
      <x:c r="S66" s="32" t="str">
        <x:v>partial</x:v>
      </x:c>
      <x:c r="T66" s="62" t="str">
        <x:v>Audiologists in diagnosing/treating</x:v>
      </x:c>
    </x:row>
    <x:row r="67" ht="50.25" customHeight="1">
      <x:c r="A67" s="15" t="str">
        <x:v>611130</x:v>
      </x:c>
      <x:c r="B67" s="12" t="str">
        <x:v>Health technologists and technicians (e.g., dental hygienists, health record technologists/technicians, licensed practical nurses, medical or laboratory technicians, radiological technicians)</x:v>
      </x:c>
      <x:c r="C67" s="14" t="n">
        <x:v>999</x:v>
      </x:c>
      <x:c r="D67" s="54" t="str">
        <x:v>Occupation mean</x:v>
      </x:c>
      <x:c r="E67" s="60" t="str">
        <x:v>18/24</x:v>
      </x:c>
      <x:c r="F67" s="61" t="n">
        <x:v>0.75</x:v>
      </x:c>
      <x:c r="G67" s="18" t="n">
        <x:f>AVERAGE('ONET candidates'!H141,'ONET candidates'!H142,'ONET candidates'!H143,'ONET candidates'!H144,'ONET candidates'!H145,'ONET candidates'!H146,'ONET candidates'!H147,'ONET candidates'!H148,'ONET candidates'!H152,'ONET candidates'!H153,'ONET candidates'!H154,'ONET candidates'!H155,'ONET candidates'!H156,'ONET candidates'!H157,'ONET candidates'!H158,'ONET candidates'!H160,'ONET candidates'!H161,'ONET candidates'!H162)</x:f>
        <x:v>4.213333333333334</x:v>
      </x:c>
      <x:c r="H67" s="18" t="n">
        <x:f>AVERAGE('ONET candidates'!I141,'ONET candidates'!I142,'ONET candidates'!I143,'ONET candidates'!I144,'ONET candidates'!I145,'ONET candidates'!I146,'ONET candidates'!I147,'ONET candidates'!I148,'ONET candidates'!I152,'ONET candidates'!I153,'ONET candidates'!I154,'ONET candidates'!I155,'ONET candidates'!I156,'ONET candidates'!I157,'ONET candidates'!I158,'ONET candidates'!I160,'ONET candidates'!I161,'ONET candidates'!I162)</x:f>
        <x:v>4.160555555555556</x:v>
      </x:c>
      <x:c r="I67" s="18" t="n">
        <x:f>AVERAGE('ONET candidates'!J141,'ONET candidates'!J142,'ONET candidates'!J143,'ONET candidates'!J144,'ONET candidates'!J145,'ONET candidates'!J146,'ONET candidates'!J147,'ONET candidates'!J148,'ONET candidates'!J152,'ONET candidates'!J153,'ONET candidates'!J154,'ONET candidates'!J155,'ONET candidates'!J156,'ONET candidates'!J157,'ONET candidates'!J158,'ONET candidates'!J160,'ONET candidates'!J161,'ONET candidates'!J162)</x:f>
        <x:v>3.5833333333333335</x:v>
      </x:c>
      <x:c r="J67" s="18" t="n">
        <x:f>AVERAGE('ONET candidates'!K141,'ONET candidates'!K142,'ONET candidates'!K143,'ONET candidates'!K144,'ONET candidates'!K145,'ONET candidates'!K146,'ONET candidates'!K147,'ONET candidates'!K148,'ONET candidates'!K152,'ONET candidates'!K153,'ONET candidates'!K154,'ONET candidates'!K155,'ONET candidates'!K156,'ONET candidates'!K157,'ONET candidates'!K158,'ONET candidates'!K160,'ONET candidates'!K161,'ONET candidates'!K162)</x:f>
        <x:v>5.462777777777777</x:v>
      </x:c>
      <x:c r="K67" s="18" t="n">
        <x:f>AVERAGE('ONET candidates'!L141,'ONET candidates'!L142,'ONET candidates'!L143,'ONET candidates'!L144,'ONET candidates'!L145,'ONET candidates'!L146,'ONET candidates'!L147,'ONET candidates'!L148,'ONET candidates'!L152,'ONET candidates'!L153,'ONET candidates'!L154,'ONET candidates'!L155,'ONET candidates'!L156,'ONET candidates'!L157,'ONET candidates'!L158,'ONET candidates'!L160,'ONET candidates'!L161,'ONET candidates'!L162)</x:f>
        <x:v>5.212777777777777</x:v>
      </x:c>
      <x:c r="L67" s="18" t="n">
        <x:f>AVERAGE('ONET candidates'!M141,'ONET candidates'!M142,'ONET candidates'!M143,'ONET candidates'!M144,'ONET candidates'!M145,'ONET candidates'!M146,'ONET candidates'!M147,'ONET candidates'!M148,'ONET candidates'!M152,'ONET candidates'!M153,'ONET candidates'!M154,'ONET candidates'!M155,'ONET candidates'!M156,'ONET candidates'!M157,'ONET candidates'!M158,'ONET candidates'!M160,'ONET candidates'!M161,'ONET candidates'!M162)</x:f>
        <x:v>4.27888888888889</x:v>
      </x:c>
      <x:c r="M67" s="2" t="str">
        <x:v>2.67–5.67</x:v>
      </x:c>
      <x:c r="N67" s="2" t="str">
        <x:v>2.83–5.67</x:v>
      </x:c>
      <x:c r="O67" s="2" t="str">
        <x:v>2.33–4.67</x:v>
      </x:c>
      <x:c r="P67" s="2" t="str">
        <x:v>3.67–6.67</x:v>
      </x:c>
      <x:c r="Q67" s="2" t="str">
        <x:v>4.33–6.00</x:v>
      </x:c>
      <x:c r="R67" s="2" t="str">
        <x:v>3.00–6.00</x:v>
      </x:c>
      <x:c r="S67" s="32" t="str">
        <x:v>partial</x:v>
      </x:c>
      <x:c r="T67" s="32" t="str">
        <x:v>None</x:v>
      </x:c>
    </x:row>
    <x:row r="68" ht="34.5" customHeight="1">
      <x:c r="A68" s="15" t="str">
        <x:v>611140</x:v>
      </x:c>
      <x:c r="B68" s="12" t="str">
        <x:v>Other health occupations</x:v>
      </x:c>
      <x:c r="C68" s="14" t="n">
        <x:v>1754</x:v>
      </x:c>
      <x:c r="D68" s="54" t="str">
        <x:v>Occupation mean</x:v>
      </x:c>
      <x:c r="E68" s="60" t="str">
        <x:v>22/24</x:v>
      </x:c>
      <x:c r="F68" s="61" t="n">
        <x:v>0.9166666666666666</x:v>
      </x:c>
      <x:c r="G68" s="18" t="n">
        <x:f>AVERAGE('ONET candidates'!H165,'ONET candidates'!H166,'ONET candidates'!H167,'ONET candidates'!H168,'ONET candidates'!H169,'ONET candidates'!H171,'ONET candidates'!H172,'ONET candidates'!H173,'ONET candidates'!H174,'ONET candidates'!H175,'ONET candidates'!H176,'ONET candidates'!H177,'ONET candidates'!H178,'ONET candidates'!H179,'ONET candidates'!H180,'ONET candidates'!H181,'ONET candidates'!H182,'ONET candidates'!H183,'ONET candidates'!H184,'ONET candidates'!H185,'ONET candidates'!H186,'ONET candidates'!H187)</x:f>
        <x:v>3.924545454545455</x:v>
      </x:c>
      <x:c r="H68" s="18" t="n">
        <x:f>AVERAGE('ONET candidates'!I165,'ONET candidates'!I166,'ONET candidates'!I167,'ONET candidates'!I168,'ONET candidates'!I169,'ONET candidates'!I171,'ONET candidates'!I172,'ONET candidates'!I173,'ONET candidates'!I174,'ONET candidates'!I175,'ONET candidates'!I176,'ONET candidates'!I177,'ONET candidates'!I178,'ONET candidates'!I179,'ONET candidates'!I180,'ONET candidates'!I181,'ONET candidates'!I182,'ONET candidates'!I183,'ONET candidates'!I184,'ONET candidates'!I185,'ONET candidates'!I186,'ONET candidates'!I187)</x:f>
        <x:v>3.7049999999999996</x:v>
      </x:c>
      <x:c r="I68" s="18" t="n">
        <x:f>AVERAGE('ONET candidates'!J165,'ONET candidates'!J166,'ONET candidates'!J167,'ONET candidates'!J168,'ONET candidates'!J169,'ONET candidates'!J171,'ONET candidates'!J172,'ONET candidates'!J173,'ONET candidates'!J174,'ONET candidates'!J175,'ONET candidates'!J176,'ONET candidates'!J177,'ONET candidates'!J178,'ONET candidates'!J179,'ONET candidates'!J180,'ONET candidates'!J181,'ONET candidates'!J182,'ONET candidates'!J183,'ONET candidates'!J184,'ONET candidates'!J185,'ONET candidates'!J186,'ONET candidates'!J187)</x:f>
        <x:v>3.1213636363636366</x:v>
      </x:c>
      <x:c r="J68" s="18" t="n">
        <x:f>AVERAGE('ONET candidates'!K165,'ONET candidates'!K166,'ONET candidates'!K167,'ONET candidates'!K168,'ONET candidates'!K169,'ONET candidates'!K171,'ONET candidates'!K172,'ONET candidates'!K173,'ONET candidates'!K174,'ONET candidates'!K175,'ONET candidates'!K176,'ONET candidates'!K177,'ONET candidates'!K178,'ONET candidates'!K179,'ONET candidates'!K180,'ONET candidates'!K181,'ONET candidates'!K182,'ONET candidates'!K183,'ONET candidates'!K184,'ONET candidates'!K185,'ONET candidates'!K186,'ONET candidates'!K187)</x:f>
        <x:v>5.409545454545455</x:v>
      </x:c>
      <x:c r="K68" s="18" t="n">
        <x:f>AVERAGE('ONET candidates'!L165,'ONET candidates'!L166,'ONET candidates'!L167,'ONET candidates'!L168,'ONET candidates'!L169,'ONET candidates'!L171,'ONET candidates'!L172,'ONET candidates'!L173,'ONET candidates'!L174,'ONET candidates'!L175,'ONET candidates'!L176,'ONET candidates'!L177,'ONET candidates'!L178,'ONET candidates'!L179,'ONET candidates'!L180,'ONET candidates'!L181,'ONET candidates'!L182,'ONET candidates'!L183,'ONET candidates'!L184,'ONET candidates'!L185,'ONET candidates'!L186,'ONET candidates'!L187)</x:f>
        <x:v>4.758181818181819</x:v>
      </x:c>
      <x:c r="L68" s="18" t="n">
        <x:f>AVERAGE('ONET candidates'!M165,'ONET candidates'!M166,'ONET candidates'!M167,'ONET candidates'!M168,'ONET candidates'!M169,'ONET candidates'!M171,'ONET candidates'!M172,'ONET candidates'!M173,'ONET candidates'!M174,'ONET candidates'!M175,'ONET candidates'!M176,'ONET candidates'!M177,'ONET candidates'!M178,'ONET candidates'!M179,'ONET candidates'!M180,'ONET candidates'!M181,'ONET candidates'!M182,'ONET candidates'!M183,'ONET candidates'!M184,'ONET candidates'!M185,'ONET candidates'!M186,'ONET candidates'!M187)</x:f>
        <x:v>3.652272727272728</x:v>
      </x:c>
      <x:c r="M68" s="2" t="str">
        <x:v>2.33–6.00</x:v>
      </x:c>
      <x:c r="N68" s="2" t="str">
        <x:v>2.33–5.17</x:v>
      </x:c>
      <x:c r="O68" s="2" t="str">
        <x:v>2.00–5.00</x:v>
      </x:c>
      <x:c r="P68" s="2" t="str">
        <x:v>4.00–6.67</x:v>
      </x:c>
      <x:c r="Q68" s="2" t="str">
        <x:v>3.00–5.67</x:v>
      </x:c>
      <x:c r="R68" s="2" t="str">
        <x:v>2.00–5.67</x:v>
      </x:c>
      <x:c r="S68" s="32" t="str">
        <x:v>partial</x:v>
      </x:c>
      <x:c r="T68" s="62" t="str">
        <x:v>Remaining health occupations</x:v>
      </x:c>
    </x:row>
    <x:row r="69" ht="37.5" customHeight="1">
      <x:c r="A69" s="15" t="str">
        <x:v>611150</x:v>
      </x:c>
      <x:c r="B69" s="12" t="str">
        <x:v>Psychologists - Health services (e.g., clinical, counseling, school psychologists)b</x:v>
      </x:c>
      <x:c r="C69" s="14" t="n">
        <x:v>546</x:v>
      </x:c>
      <x:c r="D69" s="54" t="str">
        <x:v>Occupation mean</x:v>
      </x:c>
      <x:c r="E69" s="55" t="str">
        <x:v>2/2</x:v>
      </x:c>
      <x:c r="F69" s="56" t="n">
        <x:v>1</x:v>
      </x:c>
      <x:c r="G69" s="18" t="n">
        <x:f>AVERAGE('ONET candidates'!H189,'ONET candidates'!H190)</x:f>
        <x:v>5.58</x:v>
      </x:c>
      <x:c r="H69" s="18" t="n">
        <x:f>AVERAGE('ONET candidates'!I189,'ONET candidates'!I190)</x:f>
        <x:v>5.29</x:v>
      </x:c>
      <x:c r="I69" s="18" t="n">
        <x:f>AVERAGE('ONET candidates'!J189,'ONET candidates'!J190)</x:f>
        <x:v>5.33</x:v>
      </x:c>
      <x:c r="J69" s="18" t="n">
        <x:f>AVERAGE('ONET candidates'!K189,'ONET candidates'!K190)</x:f>
        <x:v>6.915</x:v>
      </x:c>
      <x:c r="K69" s="18" t="n">
        <x:f>AVERAGE('ONET candidates'!L189,'ONET candidates'!L190)</x:f>
        <x:v>3.42</x:v>
      </x:c>
      <x:c r="L69" s="18" t="n">
        <x:f>AVERAGE('ONET candidates'!M189,'ONET candidates'!M190)</x:f>
        <x:v>5.835</x:v>
      </x:c>
      <x:c r="M69" s="2" t="str">
        <x:v>5.33–5.83</x:v>
      </x:c>
      <x:c r="N69" s="2" t="str">
        <x:v>4.83–5.75</x:v>
      </x:c>
      <x:c r="O69" s="2" t="str">
        <x:v>5.33–5.33</x:v>
      </x:c>
      <x:c r="P69" s="2" t="str">
        <x:v>6.83–7.00</x:v>
      </x:c>
      <x:c r="Q69" s="2" t="str">
        <x:v>3.17–3.67</x:v>
      </x:c>
      <x:c r="R69" s="2" t="str">
        <x:v>5.67–6.00</x:v>
      </x:c>
      <x:c r="S69" s="32" t="str">
        <x:v>full</x:v>
      </x:c>
      <x:c r="T69" s="32" t="str">
        <x:v>None</x:v>
      </x:c>
    </x:row>
    <x:row r="70" ht="34.5" customHeight="1">
      <x:c r="A70" s="15" t="str">
        <x:v>612870</x:v>
      </x:c>
      <x:c r="B70" s="12" t="str">
        <x:v>Postsecondary teachers - Health</x:v>
      </x:c>
      <x:c r="C70" s="14" t="n">
        <x:v>369</x:v>
      </x:c>
      <x:c r="D70" s="54" t="str">
        <x:v>Occupation mean</x:v>
      </x:c>
      <x:c r="E70" s="55" t="str">
        <x:v>2/2</x:v>
      </x:c>
      <x:c r="F70" s="56" t="n">
        <x:v>1</x:v>
      </x:c>
      <x:c r="G70" s="18" t="n">
        <x:f>AVERAGE('ONET candidates'!H191,'ONET candidates'!H192)</x:f>
        <x:v>5.17</x:v>
      </x:c>
      <x:c r="H70" s="18" t="n">
        <x:f>AVERAGE('ONET candidates'!I191,'ONET candidates'!I192)</x:f>
        <x:v>5.835</x:v>
      </x:c>
      <x:c r="I70" s="18" t="n">
        <x:f>AVERAGE('ONET candidates'!J191,'ONET candidates'!J192)</x:f>
        <x:v>5.17</x:v>
      </x:c>
      <x:c r="J70" s="18" t="n">
        <x:f>AVERAGE('ONET candidates'!K191,'ONET candidates'!K192)</x:f>
        <x:v>5.5</x:v>
      </x:c>
      <x:c r="K70" s="18" t="n">
        <x:f>AVERAGE('ONET candidates'!L191,'ONET candidates'!L192)</x:f>
        <x:v>3.665</x:v>
      </x:c>
      <x:c r="L70" s="18" t="n">
        <x:f>AVERAGE('ONET candidates'!M191,'ONET candidates'!M192)</x:f>
        <x:v>5.5</x:v>
      </x:c>
      <x:c r="M70" s="2" t="str">
        <x:v>4.67–5.67</x:v>
      </x:c>
      <x:c r="N70" s="2" t="str">
        <x:v>5.67–6.00</x:v>
      </x:c>
      <x:c r="O70" s="2" t="str">
        <x:v>4.67–5.67</x:v>
      </x:c>
      <x:c r="P70" s="2" t="str">
        <x:v>5.00–6.00</x:v>
      </x:c>
      <x:c r="Q70" s="2" t="str">
        <x:v>3.33–4.00</x:v>
      </x:c>
      <x:c r="R70" s="2" t="str">
        <x:v>5.33–5.67</x:v>
      </x:c>
      <x:c r="S70" s="32" t="str">
        <x:v>full</x:v>
      </x:c>
      <x:c r="T70" s="32" t="str">
        <x:v>None</x:v>
      </x:c>
    </x:row>
    <x:row r="71" ht="34.5" customHeight="1">
      <x:c r="A71" s="15" t="str">
        <x:v>621420</x:v>
      </x:c>
      <x:c r="B71" s="12" t="str">
        <x:v>Computer and information systems managers</x:v>
      </x:c>
      <x:c r="C71" s="14" t="n">
        <x:v>727</x:v>
      </x:c>
      <x:c r="D71" s="54" t="str">
        <x:v>Single occupation</x:v>
      </x:c>
      <x:c r="E71" s="55" t="str">
        <x:v>1/1</x:v>
      </x:c>
      <x:c r="F71" s="56" t="n">
        <x:v>1</x:v>
      </x:c>
      <x:c r="G71" s="18" t="n">
        <x:f>AVERAGE('ONET candidates'!H193)</x:f>
        <x:v>5.33</x:v>
      </x:c>
      <x:c r="H71" s="18" t="n">
        <x:f>AVERAGE('ONET candidates'!I193)</x:f>
        <x:v>6.5</x:v>
      </x:c>
      <x:c r="I71" s="18" t="n">
        <x:f>AVERAGE('ONET candidates'!J193)</x:f>
        <x:v>5.33</x:v>
      </x:c>
      <x:c r="J71" s="18" t="n">
        <x:f>AVERAGE('ONET candidates'!K193)</x:f>
        <x:v>4.33</x:v>
      </x:c>
      <x:c r="K71" s="18" t="n">
        <x:f>AVERAGE('ONET candidates'!L193)</x:f>
        <x:v>5.67</x:v>
      </x:c>
      <x:c r="L71" s="18" t="n">
        <x:f>AVERAGE('ONET candidates'!M193)</x:f>
        <x:v>5</x:v>
      </x:c>
      <x:c r="M71" s="2" t="str">
        <x:v>5.33–5.33</x:v>
      </x:c>
      <x:c r="N71" s="2" t="str">
        <x:v>6.50–6.50</x:v>
      </x:c>
      <x:c r="O71" s="2" t="str">
        <x:v>5.33–5.33</x:v>
      </x:c>
      <x:c r="P71" s="2" t="str">
        <x:v>4.33–4.33</x:v>
      </x:c>
      <x:c r="Q71" s="2" t="str">
        <x:v>5.67–5.67</x:v>
      </x:c>
      <x:c r="R71" s="2" t="str">
        <x:v>5.00–5.00</x:v>
      </x:c>
      <x:c r="S71" s="32" t="str">
        <x:v>full</x:v>
      </x:c>
      <x:c r="T71" s="47" t="str">
        <x:v>None</x:v>
      </x:c>
    </x:row>
    <x:row r="72" ht="34.5" customHeight="1">
      <x:c r="A72" s="15" t="str">
        <x:v>621430</x:v>
      </x:c>
      <x:c r="B72" s="12" t="str">
        <x:v>Engineering managers</x:v>
      </x:c>
      <x:c r="C72" s="14" t="n">
        <x:v>1250</x:v>
      </x:c>
      <x:c r="D72" s="54" t="str">
        <x:v>Broader profile</x:v>
      </x:c>
      <x:c r="E72" s="55" t="str">
        <x:v>1/1</x:v>
      </x:c>
      <x:c r="F72" s="56" t="n">
        <x:v>1</x:v>
      </x:c>
      <x:c r="G72" s="18" t="n">
        <x:f>AVERAGE('ONET candidates'!H194)</x:f>
        <x:v>6</x:v>
      </x:c>
      <x:c r="H72" s="18" t="n">
        <x:f>AVERAGE('ONET candidates'!I194)</x:f>
        <x:v>6</x:v>
      </x:c>
      <x:c r="I72" s="18" t="n">
        <x:f>AVERAGE('ONET candidates'!J194)</x:f>
        <x:v>5.33</x:v>
      </x:c>
      <x:c r="J72" s="18" t="n">
        <x:f>AVERAGE('ONET candidates'!K194)</x:f>
        <x:v>4</x:v>
      </x:c>
      <x:c r="K72" s="18" t="n">
        <x:f>AVERAGE('ONET candidates'!L194)</x:f>
        <x:v>5</x:v>
      </x:c>
      <x:c r="L72" s="18" t="n">
        <x:f>AVERAGE('ONET candidates'!M194)</x:f>
        <x:v>6</x:v>
      </x:c>
      <x:c r="M72" s="2" t="str">
        <x:v>6.00–6.00</x:v>
      </x:c>
      <x:c r="N72" s="2" t="str">
        <x:v>6.00–6.00</x:v>
      </x:c>
      <x:c r="O72" s="2" t="str">
        <x:v>5.33–5.33</x:v>
      </x:c>
      <x:c r="P72" s="2" t="str">
        <x:v>4.00–4.00</x:v>
      </x:c>
      <x:c r="Q72" s="2" t="str">
        <x:v>5.00–5.00</x:v>
      </x:c>
      <x:c r="R72" s="2" t="str">
        <x:v>6.00–6.00</x:v>
      </x:c>
      <x:c r="S72" s="32" t="str">
        <x:v>full</x:v>
      </x:c>
      <x:c r="T72" s="62" t="str">
        <x:v>Broader occupation profile</x:v>
      </x:c>
    </x:row>
    <x:row r="73" ht="34.5" customHeight="1">
      <x:c r="A73" s="15" t="str">
        <x:v>621440</x:v>
      </x:c>
      <x:c r="B73" s="12" t="str">
        <x:v>Medical and health services managers</x:v>
      </x:c>
      <x:c r="C73" s="14" t="n">
        <x:v>743</x:v>
      </x:c>
      <x:c r="D73" s="54" t="str">
        <x:v>Single occupation</x:v>
      </x:c>
      <x:c r="E73" s="55" t="str">
        <x:v>1/1</x:v>
      </x:c>
      <x:c r="F73" s="56" t="n">
        <x:v>1</x:v>
      </x:c>
      <x:c r="G73" s="18" t="n">
        <x:f>AVERAGE('ONET candidates'!H195)</x:f>
        <x:v>5</x:v>
      </x:c>
      <x:c r="H73" s="18" t="n">
        <x:f>AVERAGE('ONET candidates'!I195)</x:f>
        <x:v>6</x:v>
      </x:c>
      <x:c r="I73" s="18" t="n">
        <x:f>AVERAGE('ONET candidates'!J195)</x:f>
        <x:v>4.67</x:v>
      </x:c>
      <x:c r="J73" s="18" t="n">
        <x:f>AVERAGE('ONET candidates'!K195)</x:f>
        <x:v>6</x:v>
      </x:c>
      <x:c r="K73" s="18" t="n">
        <x:f>AVERAGE('ONET candidates'!L195)</x:f>
        <x:v>5.67</x:v>
      </x:c>
      <x:c r="L73" s="18" t="n">
        <x:f>AVERAGE('ONET candidates'!M195)</x:f>
        <x:v>6</x:v>
      </x:c>
      <x:c r="M73" s="2" t="str">
        <x:v>5.00–5.00</x:v>
      </x:c>
      <x:c r="N73" s="2" t="str">
        <x:v>6.00–6.00</x:v>
      </x:c>
      <x:c r="O73" s="2" t="str">
        <x:v>4.67–4.67</x:v>
      </x:c>
      <x:c r="P73" s="2" t="str">
        <x:v>6.00–6.00</x:v>
      </x:c>
      <x:c r="Q73" s="2" t="str">
        <x:v>5.67–5.67</x:v>
      </x:c>
      <x:c r="R73" s="2" t="str">
        <x:v>6.00–6.00</x:v>
      </x:c>
      <x:c r="S73" s="32" t="str">
        <x:v>full</x:v>
      </x:c>
      <x:c r="T73" s="32" t="str">
        <x:v>None</x:v>
      </x:c>
    </x:row>
    <x:row r="74" ht="34.5" customHeight="1">
      <x:c r="A74" s="15" t="str">
        <x:v>621450</x:v>
      </x:c>
      <x:c r="B74" s="12" t="str">
        <x:v>Natural sciences managers</x:v>
      </x:c>
      <x:c r="C74" s="14" t="n">
        <x:v>396</x:v>
      </x:c>
      <x:c r="D74" s="54" t="str">
        <x:v>Single occupation</x:v>
      </x:c>
      <x:c r="E74" s="55" t="str">
        <x:v>1/1</x:v>
      </x:c>
      <x:c r="F74" s="56" t="n">
        <x:v>1</x:v>
      </x:c>
      <x:c r="G74" s="18" t="n">
        <x:f>AVERAGE('ONET candidates'!H196)</x:f>
        <x:v>5.33</x:v>
      </x:c>
      <x:c r="H74" s="18" t="n">
        <x:f>AVERAGE('ONET candidates'!I196)</x:f>
        <x:v>5.83</x:v>
      </x:c>
      <x:c r="I74" s="18" t="n">
        <x:f>AVERAGE('ONET candidates'!J196)</x:f>
        <x:v>5</x:v>
      </x:c>
      <x:c r="J74" s="18" t="n">
        <x:f>AVERAGE('ONET candidates'!K196)</x:f>
        <x:v>3.33</x:v>
      </x:c>
      <x:c r="K74" s="18" t="n">
        <x:f>AVERAGE('ONET candidates'!L196)</x:f>
        <x:v>5.33</x:v>
      </x:c>
      <x:c r="L74" s="18" t="n">
        <x:f>AVERAGE('ONET candidates'!M196)</x:f>
        <x:v>6</x:v>
      </x:c>
      <x:c r="M74" s="2" t="str">
        <x:v>5.33–5.33</x:v>
      </x:c>
      <x:c r="N74" s="2" t="str">
        <x:v>5.83–5.83</x:v>
      </x:c>
      <x:c r="O74" s="2" t="str">
        <x:v>5.00–5.00</x:v>
      </x:c>
      <x:c r="P74" s="2" t="str">
        <x:v>3.33–3.33</x:v>
      </x:c>
      <x:c r="Q74" s="2" t="str">
        <x:v>5.33–5.33</x:v>
      </x:c>
      <x:c r="R74" s="2" t="str">
        <x:v>6.00–6.00</x:v>
      </x:c>
      <x:c r="S74" s="32" t="str">
        <x:v>full</x:v>
      </x:c>
      <x:c r="T74" s="47" t="str">
        <x:v>None</x:v>
      </x:c>
    </x:row>
    <x:row r="75" ht="34.5" customHeight="1">
      <x:c r="A75" s="15" t="str">
        <x:v>632530</x:v>
      </x:c>
      <x:c r="B75" s="12" t="str">
        <x:v>Teachers: Secondary - computer, math, or sciences</x:v>
      </x:c>
      <x:c r="C75" s="14" t="n">
        <x:v>1397</x:v>
      </x:c>
      <x:c r="D75" s="54" t="str">
        <x:v>Broader profile</x:v>
      </x:c>
      <x:c r="E75" s="55" t="str">
        <x:v>1/1</x:v>
      </x:c>
      <x:c r="F75" s="56" t="n">
        <x:v>1</x:v>
      </x:c>
      <x:c r="G75" s="18" t="n">
        <x:f>AVERAGE('ONET candidates'!H197)</x:f>
        <x:v>5.67</x:v>
      </x:c>
      <x:c r="H75" s="18" t="n">
        <x:f>AVERAGE('ONET candidates'!I197)</x:f>
        <x:v>5.33</x:v>
      </x:c>
      <x:c r="I75" s="18" t="n">
        <x:f>AVERAGE('ONET candidates'!J197)</x:f>
        <x:v>4</x:v>
      </x:c>
      <x:c r="J75" s="18" t="n">
        <x:f>AVERAGE('ONET candidates'!K197)</x:f>
        <x:v>7</x:v>
      </x:c>
      <x:c r="K75" s="18" t="n">
        <x:f>AVERAGE('ONET candidates'!L197)</x:f>
        <x:v>4.67</x:v>
      </x:c>
      <x:c r="L75" s="18" t="n">
        <x:f>AVERAGE('ONET candidates'!M197)</x:f>
        <x:v>5</x:v>
      </x:c>
      <x:c r="M75" s="2" t="str">
        <x:v>5.67–5.67</x:v>
      </x:c>
      <x:c r="N75" s="2" t="str">
        <x:v>5.33–5.33</x:v>
      </x:c>
      <x:c r="O75" s="2" t="str">
        <x:v>4.00–4.00</x:v>
      </x:c>
      <x:c r="P75" s="2" t="str">
        <x:v>7.00–7.00</x:v>
      </x:c>
      <x:c r="Q75" s="2" t="str">
        <x:v>4.67–4.67</x:v>
      </x:c>
      <x:c r="R75" s="2" t="str">
        <x:v>5.00–5.00</x:v>
      </x:c>
      <x:c r="S75" s="32" t="str">
        <x:v>full</x:v>
      </x:c>
      <x:c r="T75" s="62" t="str">
        <x:v>Broader occupation profile</x:v>
      </x:c>
    </x:row>
    <x:row r="76" ht="34.5" customHeight="1">
      <x:c r="A76" s="15" t="str">
        <x:v>632540</x:v>
      </x:c>
      <x:c r="B76" s="12" t="str">
        <x:v>Teachers: Secondary - social sciences</x:v>
      </x:c>
      <x:c r="C76" s="14" t="n">
        <x:v>363</x:v>
      </x:c>
      <x:c r="D76" s="54" t="str">
        <x:v>Broader profile</x:v>
      </x:c>
      <x:c r="E76" s="55" t="str">
        <x:v>1/1</x:v>
      </x:c>
      <x:c r="F76" s="56" t="n">
        <x:v>1</x:v>
      </x:c>
      <x:c r="G76" s="18" t="n">
        <x:f>AVERAGE('ONET candidates'!H198)</x:f>
        <x:v>5.67</x:v>
      </x:c>
      <x:c r="H76" s="18" t="n">
        <x:f>AVERAGE('ONET candidates'!I198)</x:f>
        <x:v>5.33</x:v>
      </x:c>
      <x:c r="I76" s="18" t="n">
        <x:f>AVERAGE('ONET candidates'!J198)</x:f>
        <x:v>4</x:v>
      </x:c>
      <x:c r="J76" s="18" t="n">
        <x:f>AVERAGE('ONET candidates'!K198)</x:f>
        <x:v>7</x:v>
      </x:c>
      <x:c r="K76" s="18" t="n">
        <x:f>AVERAGE('ONET candidates'!L198)</x:f>
        <x:v>4.67</x:v>
      </x:c>
      <x:c r="L76" s="18" t="n">
        <x:f>AVERAGE('ONET candidates'!M198)</x:f>
        <x:v>5</x:v>
      </x:c>
      <x:c r="M76" s="2" t="str">
        <x:v>5.67–5.67</x:v>
      </x:c>
      <x:c r="N76" s="2" t="str">
        <x:v>5.33–5.33</x:v>
      </x:c>
      <x:c r="O76" s="2" t="str">
        <x:v>4.00–4.00</x:v>
      </x:c>
      <x:c r="P76" s="2" t="str">
        <x:v>7.00–7.00</x:v>
      </x:c>
      <x:c r="Q76" s="2" t="str">
        <x:v>4.67–4.67</x:v>
      </x:c>
      <x:c r="R76" s="2" t="str">
        <x:v>5.00–5.00</x:v>
      </x:c>
      <x:c r="S76" s="32" t="str">
        <x:v>full</x:v>
      </x:c>
      <x:c r="T76" s="62" t="str">
        <x:v>Broader occupation profile</x:v>
      </x:c>
    </x:row>
    <x:row r="77" ht="34.5" customHeight="1">
      <x:c r="A77" s="15" t="str">
        <x:v>640260</x:v>
      </x:c>
      <x:c r="B77" s="12" t="str">
        <x:v>Technologists and technicians in the biological/life sciences</x:v>
      </x:c>
      <x:c r="C77" s="14" t="n">
        <x:v>663</x:v>
      </x:c>
      <x:c r="D77" s="54" t="str">
        <x:v>Occupation mean</x:v>
      </x:c>
      <x:c r="E77" s="55" t="str">
        <x:v>4/4</x:v>
      </x:c>
      <x:c r="F77" s="56" t="n">
        <x:v>1</x:v>
      </x:c>
      <x:c r="G77" s="18" t="n">
        <x:f>AVERAGE('ONET candidates'!H199,'ONET candidates'!H200,'ONET candidates'!H201,'ONET candidates'!H202)</x:f>
        <x:v>3.915</x:v>
      </x:c>
      <x:c r="H77" s="18" t="n">
        <x:f>AVERAGE('ONET candidates'!I199,'ONET candidates'!I200,'ONET candidates'!I201,'ONET candidates'!I202)</x:f>
        <x:v>3.705</x:v>
      </x:c>
      <x:c r="I77" s="18" t="n">
        <x:f>AVERAGE('ONET candidates'!J199,'ONET candidates'!J200,'ONET candidates'!J201,'ONET candidates'!J202)</x:f>
        <x:v>2.9175</x:v>
      </x:c>
      <x:c r="J77" s="18" t="n">
        <x:f>AVERAGE('ONET candidates'!K199,'ONET candidates'!K200,'ONET candidates'!K201,'ONET candidates'!K202)</x:f>
        <x:v>4.3325</x:v>
      </x:c>
      <x:c r="K77" s="18" t="n">
        <x:f>AVERAGE('ONET candidates'!L199,'ONET candidates'!L200,'ONET candidates'!L201,'ONET candidates'!L202)</x:f>
        <x:v>4.8325</x:v>
      </x:c>
      <x:c r="L77" s="18" t="n">
        <x:f>AVERAGE('ONET candidates'!M199,'ONET candidates'!M200,'ONET candidates'!M201,'ONET candidates'!M202)</x:f>
        <x:v>3.9175</x:v>
      </x:c>
      <x:c r="M77" s="2" t="str">
        <x:v>3.00–4.33</x:v>
      </x:c>
      <x:c r="N77" s="2" t="str">
        <x:v>3.33–4.33</x:v>
      </x:c>
      <x:c r="O77" s="2" t="str">
        <x:v>2.67–3.33</x:v>
      </x:c>
      <x:c r="P77" s="2" t="str">
        <x:v>3.33–5.00</x:v>
      </x:c>
      <x:c r="Q77" s="2" t="str">
        <x:v>4.33–6.00</x:v>
      </x:c>
      <x:c r="R77" s="2" t="str">
        <x:v>3.33–4.67</x:v>
      </x:c>
      <x:c r="S77" s="32" t="str">
        <x:v>full</x:v>
      </x:c>
      <x:c r="T77" s="32" t="str">
        <x:v>None</x:v>
      </x:c>
    </x:row>
    <x:row r="78" ht="34.5" customHeight="1">
      <x:c r="A78" s="15" t="str">
        <x:v>640530</x:v>
      </x:c>
      <x:c r="B78" s="12" t="str">
        <x:v>Computer programmers (business, scientific, process control)</x:v>
      </x:c>
      <x:c r="C78" s="14" t="n">
        <x:v>700</x:v>
      </x:c>
      <x:c r="D78" s="54" t="str">
        <x:v>Single occupation</x:v>
      </x:c>
      <x:c r="E78" s="55" t="str">
        <x:v>1/1</x:v>
      </x:c>
      <x:c r="F78" s="56" t="n">
        <x:v>1</x:v>
      </x:c>
      <x:c r="G78" s="18" t="n">
        <x:f>AVERAGE('ONET candidates'!H203)</x:f>
        <x:v>5.67</x:v>
      </x:c>
      <x:c r="H78" s="18" t="n">
        <x:f>AVERAGE('ONET candidates'!I203)</x:f>
        <x:v>5.5</x:v>
      </x:c>
      <x:c r="I78" s="18" t="n">
        <x:f>AVERAGE('ONET candidates'!J203)</x:f>
        <x:v>4.33</x:v>
      </x:c>
      <x:c r="J78" s="18" t="n">
        <x:f>AVERAGE('ONET candidates'!K203)</x:f>
        <x:v>2.33</x:v>
      </x:c>
      <x:c r="K78" s="18" t="n">
        <x:f>AVERAGE('ONET candidates'!L203)</x:f>
        <x:v>5</x:v>
      </x:c>
      <x:c r="L78" s="18" t="n">
        <x:f>AVERAGE('ONET candidates'!M203)</x:f>
        <x:v>5</x:v>
      </x:c>
      <x:c r="M78" s="2" t="str">
        <x:v>5.67–5.67</x:v>
      </x:c>
      <x:c r="N78" s="2" t="str">
        <x:v>5.50–5.50</x:v>
      </x:c>
      <x:c r="O78" s="2" t="str">
        <x:v>4.33–4.33</x:v>
      </x:c>
      <x:c r="P78" s="2" t="str">
        <x:v>2.33–2.33</x:v>
      </x:c>
      <x:c r="Q78" s="2" t="str">
        <x:v>5.00–5.00</x:v>
      </x:c>
      <x:c r="R78" s="2" t="str">
        <x:v>5.00–5.00</x:v>
      </x:c>
      <x:c r="S78" s="32" t="str">
        <x:v>full</x:v>
      </x:c>
      <x:c r="T78" s="32" t="str">
        <x:v>None</x:v>
      </x:c>
    </x:row>
    <x:row r="79" ht="34.5" customHeight="1">
      <x:c r="A79" s="15" t="str">
        <x:v>641000</x:v>
      </x:c>
      <x:c r="B79" s="12" t="str">
        <x:v>Electrical, electronic, industrial, and mechanical technicians</x:v>
      </x:c>
      <x:c r="C79" s="14" t="n">
        <x:v>1183</x:v>
      </x:c>
      <x:c r="D79" s="54" t="str">
        <x:v>Occupation mean</x:v>
      </x:c>
      <x:c r="E79" s="55" t="str">
        <x:v>4/4</x:v>
      </x:c>
      <x:c r="F79" s="56" t="n">
        <x:v>1</x:v>
      </x:c>
      <x:c r="G79" s="18" t="n">
        <x:f>AVERAGE('ONET candidates'!H204,'ONET candidates'!H205,'ONET candidates'!H206,'ONET candidates'!H207)</x:f>
        <x:v>4.085</x:v>
      </x:c>
      <x:c r="H79" s="18" t="n">
        <x:f>AVERAGE('ONET candidates'!I204,'ONET candidates'!I205,'ONET candidates'!I206,'ONET candidates'!I207)</x:f>
        <x:v>4.26</x:v>
      </x:c>
      <x:c r="I79" s="18" t="n">
        <x:f>AVERAGE('ONET candidates'!J204,'ONET candidates'!J205,'ONET candidates'!J206,'ONET candidates'!J207)</x:f>
        <x:v>3.73</x:v>
      </x:c>
      <x:c r="J79" s="18" t="n">
        <x:f>AVERAGE('ONET candidates'!K204,'ONET candidates'!K205,'ONET candidates'!K206,'ONET candidates'!K207)</x:f>
        <x:v>4.3525</x:v>
      </x:c>
      <x:c r="K79" s="18" t="n">
        <x:f>AVERAGE('ONET candidates'!L204,'ONET candidates'!L205,'ONET candidates'!L206,'ONET candidates'!L207)</x:f>
        <x:v>5.1850000000000005</x:v>
      </x:c>
      <x:c r="L79" s="18" t="n">
        <x:f>AVERAGE('ONET candidates'!M204,'ONET candidates'!M205,'ONET candidates'!M206,'ONET candidates'!M207)</x:f>
        <x:v>3.9975</x:v>
      </x:c>
      <x:c r="M79" s="2" t="str">
        <x:v>3.67–4.67</x:v>
      </x:c>
      <x:c r="N79" s="2" t="str">
        <x:v>4.00–4.54</x:v>
      </x:c>
      <x:c r="O79" s="2" t="str">
        <x:v>3.33–4.00</x:v>
      </x:c>
      <x:c r="P79" s="2" t="str">
        <x:v>4.00–5.33</x:v>
      </x:c>
      <x:c r="Q79" s="2" t="str">
        <x:v>5.00–5.33</x:v>
      </x:c>
      <x:c r="R79" s="2" t="str">
        <x:v>3.33–4.33</x:v>
      </x:c>
      <x:c r="S79" s="32" t="str">
        <x:v>full</x:v>
      </x:c>
      <x:c r="T79" s="32" t="str">
        <x:v>None</x:v>
      </x:c>
    </x:row>
    <x:row r="80" ht="34.5" customHeight="1">
      <x:c r="A80" s="15" t="str">
        <x:v>641010</x:v>
      </x:c>
      <x:c r="B80" s="12" t="str">
        <x:v>Drafting occupations, including computer drafting</x:v>
      </x:c>
      <x:c r="C80" s="14" t="n">
        <x:v>182</x:v>
      </x:c>
      <x:c r="D80" s="54" t="str">
        <x:v>Occupation mean</x:v>
      </x:c>
      <x:c r="E80" s="60" t="str">
        <x:v>3/4</x:v>
      </x:c>
      <x:c r="F80" s="61" t="n">
        <x:v>0.75</x:v>
      </x:c>
      <x:c r="G80" s="18" t="n">
        <x:f>AVERAGE('ONET candidates'!H208,'ONET candidates'!H209,'ONET candidates'!H210)</x:f>
        <x:v>4.053333333333334</x:v>
      </x:c>
      <x:c r="H80" s="18" t="n">
        <x:f>AVERAGE('ONET candidates'!I208,'ONET candidates'!I209,'ONET candidates'!I210)</x:f>
        <x:v>4.193333333333333</x:v>
      </x:c>
      <x:c r="I80" s="18" t="n">
        <x:f>AVERAGE('ONET candidates'!J208,'ONET candidates'!J209,'ONET candidates'!J210)</x:f>
        <x:v>3.6666666666666665</x:v>
      </x:c>
      <x:c r="J80" s="18" t="n">
        <x:f>AVERAGE('ONET candidates'!K208,'ONET candidates'!K209,'ONET candidates'!K210)</x:f>
        <x:v>3.8866666666666667</x:v>
      </x:c>
      <x:c r="K80" s="18" t="n">
        <x:f>AVERAGE('ONET candidates'!L208,'ONET candidates'!L209,'ONET candidates'!L210)</x:f>
        <x:v>4.723333333333334</x:v>
      </x:c>
      <x:c r="L80" s="18" t="n">
        <x:f>AVERAGE('ONET candidates'!M208,'ONET candidates'!M209,'ONET candidates'!M210)</x:f>
        <x:v>3.8333333333333335</x:v>
      </x:c>
      <x:c r="M80" s="2" t="str">
        <x:v>3.83–4.33</x:v>
      </x:c>
      <x:c r="N80" s="2" t="str">
        <x:v>4.00–4.50</x:v>
      </x:c>
      <x:c r="O80" s="2" t="str">
        <x:v>3.50–3.83</x:v>
      </x:c>
      <x:c r="P80" s="2" t="str">
        <x:v>3.33–4.33</x:v>
      </x:c>
      <x:c r="Q80" s="2" t="str">
        <x:v>4.17–5.33</x:v>
      </x:c>
      <x:c r="R80" s="2" t="str">
        <x:v>3.50–4.33</x:v>
      </x:c>
      <x:c r="S80" s="32" t="str">
        <x:v>partial</x:v>
      </x:c>
      <x:c r="T80" s="32" t="str">
        <x:v>None</x:v>
      </x:c>
    </x:row>
    <x:row r="81" ht="34.5" customHeight="1">
      <x:c r="A81" s="15" t="str">
        <x:v>641020</x:v>
      </x:c>
      <x:c r="B81" s="12" t="str">
        <x:v>Surveying and mapping technicians</x:v>
      </x:c>
      <x:c r="C81" s="14" t="n">
        <x:v>66</x:v>
      </x:c>
      <x:c r="D81" s="54" t="str">
        <x:v>Single occupation</x:v>
      </x:c>
      <x:c r="E81" s="55" t="str">
        <x:v>1/1</x:v>
      </x:c>
      <x:c r="F81" s="56" t="n">
        <x:v>1</x:v>
      </x:c>
      <x:c r="G81" s="18" t="n">
        <x:f>AVERAGE('ONET candidates'!H212)</x:f>
        <x:v>3.5</x:v>
      </x:c>
      <x:c r="H81" s="18" t="n">
        <x:f>AVERAGE('ONET candidates'!I212)</x:f>
        <x:v>3.58</x:v>
      </x:c>
      <x:c r="I81" s="18" t="n">
        <x:f>AVERAGE('ONET candidates'!J212)</x:f>
        <x:v>3</x:v>
      </x:c>
      <x:c r="J81" s="18" t="n">
        <x:f>AVERAGE('ONET candidates'!K212)</x:f>
        <x:v>3.67</x:v>
      </x:c>
      <x:c r="K81" s="18" t="n">
        <x:f>AVERAGE('ONET candidates'!L212)</x:f>
        <x:v>4.67</x:v>
      </x:c>
      <x:c r="L81" s="18" t="n">
        <x:f>AVERAGE('ONET candidates'!M212)</x:f>
        <x:v>4.17</x:v>
      </x:c>
      <x:c r="M81" s="2" t="str">
        <x:v>3.50–3.50</x:v>
      </x:c>
      <x:c r="N81" s="2" t="str">
        <x:v>3.58–3.58</x:v>
      </x:c>
      <x:c r="O81" s="2" t="str">
        <x:v>3.00–3.00</x:v>
      </x:c>
      <x:c r="P81" s="2" t="str">
        <x:v>3.67–3.67</x:v>
      </x:c>
      <x:c r="Q81" s="2" t="str">
        <x:v>4.67–4.67</x:v>
      </x:c>
      <x:c r="R81" s="2" t="str">
        <x:v>4.17–4.17</x:v>
      </x:c>
      <x:c r="S81" s="32" t="str">
        <x:v>full</x:v>
      </x:c>
      <x:c r="T81" s="32" t="str">
        <x:v>None</x:v>
      </x:c>
    </x:row>
    <x:row r="82" ht="34.5" customHeight="1">
      <x:c r="A82" s="15" t="str">
        <x:v>641030</x:v>
      </x:c>
      <x:c r="B82" s="12" t="str">
        <x:v>Other engineering technologists and technicians</x:v>
      </x:c>
      <x:c r="C82" s="14" t="n">
        <x:v>1050</x:v>
      </x:c>
      <x:c r="D82" s="54" t="str">
        <x:v>Occupation mean</x:v>
      </x:c>
      <x:c r="E82" s="60" t="str">
        <x:v>3/5</x:v>
      </x:c>
      <x:c r="F82" s="61" t="n">
        <x:v>0.6</x:v>
      </x:c>
      <x:c r="G82" s="18" t="n">
        <x:f>AVERAGE('ONET candidates'!H213,'ONET candidates'!H214,'ONET candidates'!H215)</x:f>
        <x:v>4.553333333333334</x:v>
      </x:c>
      <x:c r="H82" s="18" t="n">
        <x:f>AVERAGE('ONET candidates'!I213,'ONET candidates'!I214,'ONET candidates'!I215)</x:f>
        <x:v>4.78</x:v>
      </x:c>
      <x:c r="I82" s="18" t="n">
        <x:f>AVERAGE('ONET candidates'!J213,'ONET candidates'!J214,'ONET candidates'!J215)</x:f>
        <x:v>3.776666666666667</x:v>
      </x:c>
      <x:c r="J82" s="18" t="n">
        <x:f>AVERAGE('ONET candidates'!K213,'ONET candidates'!K214,'ONET candidates'!K215)</x:f>
        <x:v>3.776666666666667</x:v>
      </x:c>
      <x:c r="K82" s="18" t="n">
        <x:f>AVERAGE('ONET candidates'!L213,'ONET candidates'!L214,'ONET candidates'!L215)</x:f>
        <x:v>5.666666666666667</x:v>
      </x:c>
      <x:c r="L82" s="18" t="n">
        <x:f>AVERAGE('ONET candidates'!M213,'ONET candidates'!M214,'ONET candidates'!M215)</x:f>
        <x:v>4.443333333333333</x:v>
      </x:c>
      <x:c r="M82" s="2" t="str">
        <x:v>4.33–5.00</x:v>
      </x:c>
      <x:c r="N82" s="2" t="str">
        <x:v>4.17–5.50</x:v>
      </x:c>
      <x:c r="O82" s="2" t="str">
        <x:v>3.33–4.33</x:v>
      </x:c>
      <x:c r="P82" s="2" t="str">
        <x:v>3.33–4.00</x:v>
      </x:c>
      <x:c r="Q82" s="2" t="str">
        <x:v>5.33–6.00</x:v>
      </x:c>
      <x:c r="R82" s="2" t="str">
        <x:v>4.33–4.67</x:v>
      </x:c>
      <x:c r="S82" s="32" t="str">
        <x:v>partial</x:v>
      </x:c>
      <x:c r="T82" s="32" t="str">
        <x:v>None</x:v>
      </x:c>
    </x:row>
    <x:row r="83" ht="34.5" customHeight="1">
      <x:c r="A83" s="15" t="str">
        <x:v>641040</x:v>
      </x:c>
      <x:c r="B83" s="12" t="str">
        <x:v>Surveyors, cartographers, photogrammetrists</x:v>
      </x:c>
      <x:c r="C83" s="14" t="n">
        <x:v>85</x:v>
      </x:c>
      <x:c r="D83" s="54" t="str">
        <x:v>Occupation mean</x:v>
      </x:c>
      <x:c r="E83" s="55" t="str">
        <x:v>2/2</x:v>
      </x:c>
      <x:c r="F83" s="56" t="n">
        <x:v>1</x:v>
      </x:c>
      <x:c r="G83" s="18" t="n">
        <x:f>AVERAGE('ONET candidates'!H218,'ONET candidates'!H219)</x:f>
        <x:v>4.5</x:v>
      </x:c>
      <x:c r="H83" s="18" t="n">
        <x:f>AVERAGE('ONET candidates'!I218,'ONET candidates'!I219)</x:f>
        <x:v>4.335</x:v>
      </x:c>
      <x:c r="I83" s="18" t="n">
        <x:f>AVERAGE('ONET candidates'!J218,'ONET candidates'!J219)</x:f>
        <x:v>3.67</x:v>
      </x:c>
      <x:c r="J83" s="18" t="n">
        <x:f>AVERAGE('ONET candidates'!K218,'ONET candidates'!K219)</x:f>
        <x:v>4.33</x:v>
      </x:c>
      <x:c r="K83" s="18" t="n">
        <x:f>AVERAGE('ONET candidates'!L218,'ONET candidates'!L219)</x:f>
        <x:v>4</x:v>
      </x:c>
      <x:c r="L83" s="18" t="n">
        <x:f>AVERAGE('ONET candidates'!M218,'ONET candidates'!M219)</x:f>
        <x:v>4.835</x:v>
      </x:c>
      <x:c r="M83" s="2" t="str">
        <x:v>4.00–5.00</x:v>
      </x:c>
      <x:c r="N83" s="2" t="str">
        <x:v>4.00–4.67</x:v>
      </x:c>
      <x:c r="O83" s="2" t="str">
        <x:v>3.67–3.67</x:v>
      </x:c>
      <x:c r="P83" s="2" t="str">
        <x:v>3.33–5.33</x:v>
      </x:c>
      <x:c r="Q83" s="2" t="str">
        <x:v>4.00–4.00</x:v>
      </x:c>
      <x:c r="R83" s="2" t="str">
        <x:v>4.67–5.00</x:v>
      </x:c>
      <x:c r="S83" s="32" t="str">
        <x:v>full</x:v>
      </x:c>
      <x:c r="T83" s="47" t="str">
        <x:v>None</x:v>
      </x:c>
    </x:row>
    <x:row r="84" ht="34.5" customHeight="1">
      <x:c r="A84" s="15" t="str">
        <x:v>641970</x:v>
      </x:c>
      <x:c r="B84" s="12" t="str">
        <x:v>Technologists and technicians in the physical sciences</x:v>
      </x:c>
      <x:c r="C84" s="14" t="n">
        <x:v>117</x:v>
      </x:c>
      <x:c r="D84" s="54" t="str">
        <x:v>Occupation mean</x:v>
      </x:c>
      <x:c r="E84" s="60" t="str">
        <x:v>5/7</x:v>
      </x:c>
      <x:c r="F84" s="61" t="n">
        <x:v>0.7142857142857143</x:v>
      </x:c>
      <x:c r="G84" s="18" t="n">
        <x:f>AVERAGE('ONET candidates'!H220,'ONET candidates'!H221,'ONET candidates'!H222,'ONET candidates'!H224,'ONET candidates'!H225)</x:f>
        <x:v>3.8659999999999997</x:v>
      </x:c>
      <x:c r="H84" s="18" t="n">
        <x:f>AVERAGE('ONET candidates'!I220,'ONET candidates'!I221,'ONET candidates'!I222,'ONET candidates'!I224,'ONET candidates'!I225)</x:f>
        <x:v>3.7659999999999996</x:v>
      </x:c>
      <x:c r="I84" s="18" t="n">
        <x:f>AVERAGE('ONET candidates'!J220,'ONET candidates'!J221,'ONET candidates'!J222,'ONET candidates'!J224,'ONET candidates'!J225)</x:f>
        <x:v>3.5340000000000003</x:v>
      </x:c>
      <x:c r="J84" s="18" t="n">
        <x:f>AVERAGE('ONET candidates'!K220,'ONET candidates'!K221,'ONET candidates'!K222,'ONET candidates'!K224,'ONET candidates'!K225)</x:f>
        <x:v>3.9</x:v>
      </x:c>
      <x:c r="K84" s="18" t="n">
        <x:f>AVERAGE('ONET candidates'!L220,'ONET candidates'!L221,'ONET candidates'!L222,'ONET candidates'!L224,'ONET candidates'!L225)</x:f>
        <x:v>5.366</x:v>
      </x:c>
      <x:c r="L84" s="18" t="n">
        <x:f>AVERAGE('ONET candidates'!M220,'ONET candidates'!M221,'ONET candidates'!M222,'ONET candidates'!M224,'ONET candidates'!M225)</x:f>
        <x:v>3.636</x:v>
      </x:c>
      <x:c r="M84" s="2" t="str">
        <x:v>3.33–4.67</x:v>
      </x:c>
      <x:c r="N84" s="2" t="str">
        <x:v>3.50–4.00</x:v>
      </x:c>
      <x:c r="O84" s="2" t="str">
        <x:v>2.67–4.33</x:v>
      </x:c>
      <x:c r="P84" s="2" t="str">
        <x:v>3.00–4.33</x:v>
      </x:c>
      <x:c r="Q84" s="2" t="str">
        <x:v>4.67–6.67</x:v>
      </x:c>
      <x:c r="R84" s="2" t="str">
        <x:v>2.67–4.17</x:v>
      </x:c>
      <x:c r="S84" s="32" t="str">
        <x:v>partial</x:v>
      </x:c>
      <x:c r="T84" s="62" t="str">
        <x:v>Remaining occupation group</x:v>
      </x:c>
    </x:row>
    <x:row r="85" ht="34.5" customHeight="1">
      <x:c r="A85" s="15" t="str">
        <x:v>650810</x:v>
      </x:c>
      <x:c r="B85" s="12" t="str">
        <x:v>Architects, except naval</x:v>
      </x:c>
      <x:c r="C85" s="14" t="n">
        <x:v>436</x:v>
      </x:c>
      <x:c r="D85" s="54" t="str">
        <x:v>Occupation mean</x:v>
      </x:c>
      <x:c r="E85" s="55" t="str">
        <x:v>2/2</x:v>
      </x:c>
      <x:c r="F85" s="56" t="n">
        <x:v>1</x:v>
      </x:c>
      <x:c r="G85" s="18" t="n">
        <x:f>AVERAGE('ONET candidates'!H227,'ONET candidates'!H228)</x:f>
        <x:v>5.335</x:v>
      </x:c>
      <x:c r="H85" s="18" t="n">
        <x:f>AVERAGE('ONET candidates'!I227,'ONET candidates'!I228)</x:f>
        <x:v>5.335</x:v>
      </x:c>
      <x:c r="I85" s="18" t="n">
        <x:f>AVERAGE('ONET candidates'!J227,'ONET candidates'!J228)</x:f>
        <x:v>5.17</x:v>
      </x:c>
      <x:c r="J85" s="18" t="n">
        <x:f>AVERAGE('ONET candidates'!K227,'ONET candidates'!K228)</x:f>
        <x:v>3.5</x:v>
      </x:c>
      <x:c r="K85" s="18" t="n">
        <x:f>AVERAGE('ONET candidates'!L227,'ONET candidates'!L228)</x:f>
        <x:v>3.665</x:v>
      </x:c>
      <x:c r="L85" s="18" t="n">
        <x:f>AVERAGE('ONET candidates'!M227,'ONET candidates'!M228)</x:f>
        <x:v>5.835</x:v>
      </x:c>
      <x:c r="M85" s="2" t="str">
        <x:v>5.00–5.67</x:v>
      </x:c>
      <x:c r="N85" s="2" t="str">
        <x:v>5.17–5.50</x:v>
      </x:c>
      <x:c r="O85" s="2" t="str">
        <x:v>4.67–5.67</x:v>
      </x:c>
      <x:c r="P85" s="2" t="str">
        <x:v>3.33–3.67</x:v>
      </x:c>
      <x:c r="Q85" s="2" t="str">
        <x:v>3.00–4.33</x:v>
      </x:c>
      <x:c r="R85" s="2" t="str">
        <x:v>5.67–6.00</x:v>
      </x:c>
      <x:c r="S85" s="32" t="str">
        <x:v>full</x:v>
      </x:c>
      <x:c r="T85" s="32" t="str">
        <x:v>None</x:v>
      </x:c>
    </x:row>
    <x:row r="86" ht="34.5" customHeight="1">
      <x:c r="A86" s="15" t="str">
        <x:v>651710</x:v>
      </x:c>
      <x:c r="B86" s="12" t="str">
        <x:v>Actuaries</x:v>
      </x:c>
      <x:c r="C86" s="14" t="n">
        <x:v>176</x:v>
      </x:c>
      <x:c r="D86" s="54" t="str">
        <x:v>Single occupation</x:v>
      </x:c>
      <x:c r="E86" s="55" t="str">
        <x:v>1/1</x:v>
      </x:c>
      <x:c r="F86" s="56" t="n">
        <x:v>1</x:v>
      </x:c>
      <x:c r="G86" s="18" t="n">
        <x:f>AVERAGE('ONET candidates'!H229)</x:f>
        <x:v>4.67</x:v>
      </x:c>
      <x:c r="H86" s="18" t="n">
        <x:f>AVERAGE('ONET candidates'!I229)</x:f>
        <x:v>5</x:v>
      </x:c>
      <x:c r="I86" s="18" t="n">
        <x:f>AVERAGE('ONET candidates'!J229)</x:f>
        <x:v>4.33</x:v>
      </x:c>
      <x:c r="J86" s="18" t="n">
        <x:f>AVERAGE('ONET candidates'!K229)</x:f>
        <x:v>3.67</x:v>
      </x:c>
      <x:c r="K86" s="18" t="n">
        <x:f>AVERAGE('ONET candidates'!L229)</x:f>
        <x:v>4.33</x:v>
      </x:c>
      <x:c r="L86" s="18" t="n">
        <x:f>AVERAGE('ONET candidates'!M229)</x:f>
        <x:v>4.67</x:v>
      </x:c>
      <x:c r="M86" s="2" t="str">
        <x:v>4.67–4.67</x:v>
      </x:c>
      <x:c r="N86" s="2" t="str">
        <x:v>5.00–5.00</x:v>
      </x:c>
      <x:c r="O86" s="2" t="str">
        <x:v>4.33–4.33</x:v>
      </x:c>
      <x:c r="P86" s="2" t="str">
        <x:v>3.67–3.67</x:v>
      </x:c>
      <x:c r="Q86" s="2" t="str">
        <x:v>4.33–4.33</x:v>
      </x:c>
      <x:c r="R86" s="2" t="str">
        <x:v>4.67–4.67</x:v>
      </x:c>
      <x:c r="S86" s="32" t="str">
        <x:v>full</x:v>
      </x:c>
      <x:c r="T86" s="32" t="str">
        <x:v>None</x:v>
      </x:c>
    </x:row>
    <x:row r="87" ht="37.5" customHeight="1">
      <x:c r="A87" s="15" t="str">
        <x:v>711410</x:v>
      </x:c>
      <x:c r="B87" s="12" t="str">
        <x:v>Top-executives (e.g., chief executives, general and operations managers, legislators)</x:v>
      </x:c>
      <x:c r="C87" s="14" t="n">
        <x:v>3673</x:v>
      </x:c>
      <x:c r="D87" s="54" t="str">
        <x:v>Occupation mean</x:v>
      </x:c>
      <x:c r="E87" s="55" t="str">
        <x:v>3/3</x:v>
      </x:c>
      <x:c r="F87" s="56" t="n">
        <x:v>1</x:v>
      </x:c>
      <x:c r="G87" s="18" t="n">
        <x:f>AVERAGE('ONET candidates'!H230,'ONET candidates'!H231,'ONET candidates'!H232)</x:f>
        <x:v>5.663333333333334</x:v>
      </x:c>
      <x:c r="H87" s="18" t="n">
        <x:f>AVERAGE('ONET candidates'!I230,'ONET candidates'!I231,'ONET candidates'!I232)</x:f>
        <x:v>5.553333333333334</x:v>
      </x:c>
      <x:c r="I87" s="18" t="n">
        <x:f>AVERAGE('ONET candidates'!J230,'ONET candidates'!J231,'ONET candidates'!J232)</x:f>
        <x:v>5.890000000000001</x:v>
      </x:c>
      <x:c r="J87" s="18" t="n">
        <x:f>AVERAGE('ONET candidates'!K230,'ONET candidates'!K231,'ONET candidates'!K232)</x:f>
        <x:v>5.666666666666667</x:v>
      </x:c>
      <x:c r="K87" s="18" t="n">
        <x:f>AVERAGE('ONET candidates'!L230,'ONET candidates'!L231,'ONET candidates'!L232)</x:f>
        <x:v>4.666666666666667</x:v>
      </x:c>
      <x:c r="L87" s="18" t="n">
        <x:f>AVERAGE('ONET candidates'!M230,'ONET candidates'!M231,'ONET candidates'!M232)</x:f>
        <x:v>6</x:v>
      </x:c>
      <x:c r="M87" s="2" t="str">
        <x:v>5.33–6.33</x:v>
      </x:c>
      <x:c r="N87" s="2" t="str">
        <x:v>4.33–6.33</x:v>
      </x:c>
      <x:c r="O87" s="2" t="str">
        <x:v>5.00–7.00</x:v>
      </x:c>
      <x:c r="P87" s="2" t="str">
        <x:v>5.00–6.33</x:v>
      </x:c>
      <x:c r="Q87" s="2" t="str">
        <x:v>4.00–5.33</x:v>
      </x:c>
      <x:c r="R87" s="2" t="str">
        <x:v>5.00–7.00</x:v>
      </x:c>
      <x:c r="S87" s="32" t="str">
        <x:v>full</x:v>
      </x:c>
      <x:c r="T87" s="32" t="str">
        <x:v>None</x:v>
      </x:c>
    </x:row>
    <x:row r="88" ht="34.5" customHeight="1">
      <x:c r="A88" s="15" t="str">
        <x:v>711460</x:v>
      </x:c>
      <x:c r="B88" s="12" t="str">
        <x:v>Education and childcare administrators</x:v>
      </x:c>
      <x:c r="C88" s="14" t="n">
        <x:v>390</x:v>
      </x:c>
      <x:c r="D88" s="54" t="str">
        <x:v>Occupation mean</x:v>
      </x:c>
      <x:c r="E88" s="60" t="str">
        <x:v>3/4</x:v>
      </x:c>
      <x:c r="F88" s="61" t="n">
        <x:v>0.75</x:v>
      </x:c>
      <x:c r="G88" s="18" t="n">
        <x:f>AVERAGE('ONET candidates'!H233,'ONET candidates'!H234,'ONET candidates'!H235)</x:f>
        <x:v>5.78</x:v>
      </x:c>
      <x:c r="H88" s="18" t="n">
        <x:f>AVERAGE('ONET candidates'!I233,'ONET candidates'!I234,'ONET candidates'!I235)</x:f>
        <x:v>5.5</x:v>
      </x:c>
      <x:c r="I88" s="18" t="n">
        <x:f>AVERAGE('ONET candidates'!J233,'ONET candidates'!J234,'ONET candidates'!J235)</x:f>
        <x:v>5.223333333333334</x:v>
      </x:c>
      <x:c r="J88" s="18" t="n">
        <x:f>AVERAGE('ONET candidates'!K233,'ONET candidates'!K234,'ONET candidates'!K235)</x:f>
        <x:v>6.333333333333333</x:v>
      </x:c>
      <x:c r="K88" s="18" t="n">
        <x:f>AVERAGE('ONET candidates'!L233,'ONET candidates'!L234,'ONET candidates'!L235)</x:f>
        <x:v>3.8866666666666667</x:v>
      </x:c>
      <x:c r="L88" s="18" t="n">
        <x:f>AVERAGE('ONET candidates'!M233,'ONET candidates'!M234,'ONET candidates'!M235)</x:f>
        <x:v>6.109999999999999</x:v>
      </x:c>
      <x:c r="M88" s="2" t="str">
        <x:v>5.67–6.00</x:v>
      </x:c>
      <x:c r="N88" s="2" t="str">
        <x:v>4.67–6.00</x:v>
      </x:c>
      <x:c r="O88" s="2" t="str">
        <x:v>4.67–5.67</x:v>
      </x:c>
      <x:c r="P88" s="2" t="str">
        <x:v>6.00–6.67</x:v>
      </x:c>
      <x:c r="Q88" s="2" t="str">
        <x:v>3.00–4.33</x:v>
      </x:c>
      <x:c r="R88" s="2" t="str">
        <x:v>5.67–6.33</x:v>
      </x:c>
      <x:c r="S88" s="32" t="str">
        <x:v>partial</x:v>
      </x:c>
      <x:c r="T88" s="47" t="str">
        <x:v>None</x:v>
      </x:c>
    </x:row>
    <x:row r="89" ht="34.5" customHeight="1">
      <x:c r="A89" s="15" t="str">
        <x:v>711470</x:v>
      </x:c>
      <x:c r="B89" s="12" t="str">
        <x:v>Other mid-level managers</x:v>
      </x:c>
      <x:c r="C89" s="14" t="n">
        <x:v>2184</x:v>
      </x:c>
      <x:c r="D89" s="54" t="str">
        <x:v>Occupation mean</x:v>
      </x:c>
      <x:c r="E89" s="60" t="str">
        <x:v>21/27</x:v>
      </x:c>
      <x:c r="F89" s="61" t="n">
        <x:v>0.7777777777777778</x:v>
      </x:c>
      <x:c r="G89" s="18" t="n">
        <x:f>AVERAGE('ONET candidates'!H237,'ONET candidates'!H238,'ONET candidates'!H239,'ONET candidates'!H242,'ONET candidates'!H244,'ONET candidates'!H245,'ONET candidates'!H246,'ONET candidates'!H247,'ONET candidates'!H248,'ONET candidates'!H249,'ONET candidates'!H250,'ONET candidates'!H251,'ONET candidates'!H252,'ONET candidates'!H253,'ONET candidates'!H254,'ONET candidates'!H256,'ONET candidates'!H257,'ONET candidates'!H258,'ONET candidates'!H259,'ONET candidates'!H260,'ONET candidates'!H261)</x:f>
        <x:v>5.03047619047619</x:v>
      </x:c>
      <x:c r="H89" s="18" t="n">
        <x:f>AVERAGE('ONET candidates'!I237,'ONET candidates'!I238,'ONET candidates'!I239,'ONET candidates'!I242,'ONET candidates'!I244,'ONET candidates'!I245,'ONET candidates'!I246,'ONET candidates'!I247,'ONET candidates'!I248,'ONET candidates'!I249,'ONET candidates'!I250,'ONET candidates'!I251,'ONET candidates'!I252,'ONET candidates'!I253,'ONET candidates'!I254,'ONET candidates'!I256,'ONET candidates'!I257,'ONET candidates'!I258,'ONET candidates'!I259,'ONET candidates'!I260,'ONET candidates'!I261)</x:f>
        <x:v>5.238571428571428</x:v>
      </x:c>
      <x:c r="I89" s="18" t="n">
        <x:f>AVERAGE('ONET candidates'!J237,'ONET candidates'!J238,'ONET candidates'!J239,'ONET candidates'!J242,'ONET candidates'!J244,'ONET candidates'!J245,'ONET candidates'!J246,'ONET candidates'!J247,'ONET candidates'!J248,'ONET candidates'!J249,'ONET candidates'!J250,'ONET candidates'!J251,'ONET candidates'!J252,'ONET candidates'!J253,'ONET candidates'!J254,'ONET candidates'!J256,'ONET candidates'!J257,'ONET candidates'!J258,'ONET candidates'!J259,'ONET candidates'!J260,'ONET candidates'!J261)</x:f>
        <x:v>4.777142857142857</x:v>
      </x:c>
      <x:c r="J89" s="18" t="n">
        <x:f>AVERAGE('ONET candidates'!K237,'ONET candidates'!K238,'ONET candidates'!K239,'ONET candidates'!K242,'ONET candidates'!K244,'ONET candidates'!K245,'ONET candidates'!K246,'ONET candidates'!K247,'ONET candidates'!K248,'ONET candidates'!K249,'ONET candidates'!K250,'ONET candidates'!K251,'ONET candidates'!K252,'ONET candidates'!K253,'ONET candidates'!K254,'ONET candidates'!K256,'ONET candidates'!K257,'ONET candidates'!K258,'ONET candidates'!K259,'ONET candidates'!K260,'ONET candidates'!K261)</x:f>
        <x:v>5.38</x:v>
      </x:c>
      <x:c r="K89" s="18" t="n">
        <x:f>AVERAGE('ONET candidates'!L237,'ONET candidates'!L238,'ONET candidates'!L239,'ONET candidates'!L242,'ONET candidates'!L244,'ONET candidates'!L245,'ONET candidates'!L246,'ONET candidates'!L247,'ONET candidates'!L248,'ONET candidates'!L249,'ONET candidates'!L250,'ONET candidates'!L251,'ONET candidates'!L252,'ONET candidates'!L253,'ONET candidates'!L254,'ONET candidates'!L256,'ONET candidates'!L257,'ONET candidates'!L258,'ONET candidates'!L259,'ONET candidates'!L260,'ONET candidates'!L261)</x:f>
        <x:v>4.53952380952381</x:v>
      </x:c>
      <x:c r="L89" s="18" t="n">
        <x:f>AVERAGE('ONET candidates'!M237,'ONET candidates'!M238,'ONET candidates'!M239,'ONET candidates'!M242,'ONET candidates'!M244,'ONET candidates'!M245,'ONET candidates'!M246,'ONET candidates'!M247,'ONET candidates'!M248,'ONET candidates'!M249,'ONET candidates'!M250,'ONET candidates'!M251,'ONET candidates'!M252,'ONET candidates'!M253,'ONET candidates'!M254,'ONET candidates'!M256,'ONET candidates'!M257,'ONET candidates'!M258,'ONET candidates'!M259,'ONET candidates'!M260,'ONET candidates'!M261)</x:f>
        <x:v>5.561904761904763</x:v>
      </x:c>
      <x:c r="M89" s="2" t="str">
        <x:v>4.00–6.00</x:v>
      </x:c>
      <x:c r="N89" s="2" t="str">
        <x:v>4.17–6.17</x:v>
      </x:c>
      <x:c r="O89" s="2" t="str">
        <x:v>4.00–5.67</x:v>
      </x:c>
      <x:c r="P89" s="2" t="str">
        <x:v>4.00–7.00</x:v>
      </x:c>
      <x:c r="Q89" s="2" t="str">
        <x:v>2.67–5.67</x:v>
      </x:c>
      <x:c r="R89" s="2" t="str">
        <x:v>4.67–6.00</x:v>
      </x:c>
      <x:c r="S89" s="32" t="str">
        <x:v>partial</x:v>
      </x:c>
      <x:c r="T89" s="62" t="str">
        <x:v>Remaining occupation group</x:v>
      </x:c>
    </x:row>
    <x:row r="90" ht="34.5" customHeight="1">
      <x:c r="A90" s="15" t="str">
        <x:v>721510</x:v>
      </x:c>
      <x:c r="B90" s="12" t="str">
        <x:v>Financial specialists (e.g., accountants, auditors)</x:v>
      </x:c>
      <x:c r="C90" s="14" t="n">
        <x:v>2038</x:v>
      </x:c>
      <x:c r="D90" s="54" t="str">
        <x:v>Occupation mean</x:v>
      </x:c>
      <x:c r="E90" s="60" t="str">
        <x:v>11/15</x:v>
      </x:c>
      <x:c r="F90" s="61" t="n">
        <x:v>0.7333333333333333</x:v>
      </x:c>
      <x:c r="G90" s="18" t="n">
        <x:f>AVERAGE('ONET candidates'!H264,'ONET candidates'!H266,'ONET candidates'!H267,'ONET candidates'!H268,'ONET candidates'!H270,'ONET candidates'!H271,'ONET candidates'!H273,'ONET candidates'!H274,'ONET candidates'!H275,'ONET candidates'!H276,'ONET candidates'!H277)</x:f>
        <x:v>4.423636363636363</x:v>
      </x:c>
      <x:c r="H90" s="18" t="n">
        <x:f>AVERAGE('ONET candidates'!I264,'ONET candidates'!I266,'ONET candidates'!I267,'ONET candidates'!I268,'ONET candidates'!I270,'ONET candidates'!I271,'ONET candidates'!I273,'ONET candidates'!I274,'ONET candidates'!I275,'ONET candidates'!I276,'ONET candidates'!I277)</x:f>
        <x:v>4.279090909090908</x:v>
      </x:c>
      <x:c r="I90" s="18" t="n">
        <x:f>AVERAGE('ONET candidates'!J264,'ONET candidates'!J266,'ONET candidates'!J267,'ONET candidates'!J268,'ONET candidates'!J270,'ONET candidates'!J271,'ONET candidates'!J273,'ONET candidates'!J274,'ONET candidates'!J275,'ONET candidates'!J276,'ONET candidates'!J277)</x:f>
        <x:v>4.121818181818182</x:v>
      </x:c>
      <x:c r="J90" s="18" t="n">
        <x:f>AVERAGE('ONET candidates'!K264,'ONET candidates'!K266,'ONET candidates'!K267,'ONET candidates'!K268,'ONET candidates'!K270,'ONET candidates'!K271,'ONET candidates'!K273,'ONET candidates'!K274,'ONET candidates'!K275,'ONET candidates'!K276,'ONET candidates'!K277)</x:f>
        <x:v>4.6827272727272735</x:v>
      </x:c>
      <x:c r="K90" s="18" t="n">
        <x:f>AVERAGE('ONET candidates'!L264,'ONET candidates'!L266,'ONET candidates'!L267,'ONET candidates'!L268,'ONET candidates'!L270,'ONET candidates'!L271,'ONET candidates'!L273,'ONET candidates'!L274,'ONET candidates'!L275,'ONET candidates'!L276,'ONET candidates'!L277)</x:f>
        <x:v>4.28909090909091</x:v>
      </x:c>
      <x:c r="L90" s="18" t="n">
        <x:f>AVERAGE('ONET candidates'!M264,'ONET candidates'!M266,'ONET candidates'!M267,'ONET candidates'!M268,'ONET candidates'!M270,'ONET candidates'!M271,'ONET candidates'!M273,'ONET candidates'!M274,'ONET candidates'!M275,'ONET candidates'!M276,'ONET candidates'!M277)</x:f>
        <x:v>4.771818181818182</x:v>
      </x:c>
      <x:c r="M90" s="2" t="str">
        <x:v>3.33–5.33</x:v>
      </x:c>
      <x:c r="N90" s="2" t="str">
        <x:v>3.33–5.33</x:v>
      </x:c>
      <x:c r="O90" s="2" t="str">
        <x:v>3.33–4.67</x:v>
      </x:c>
      <x:c r="P90" s="2" t="str">
        <x:v>3.50–6.00</x:v>
      </x:c>
      <x:c r="Q90" s="2" t="str">
        <x:v>3.67–5.00</x:v>
      </x:c>
      <x:c r="R90" s="2" t="str">
        <x:v>3.67–5.67</x:v>
      </x:c>
      <x:c r="S90" s="32" t="str">
        <x:v>partial</x:v>
      </x:c>
      <x:c r="T90" s="32" t="str">
        <x:v>None</x:v>
      </x:c>
    </x:row>
    <x:row r="91" ht="34.5" customHeight="1">
      <x:c r="A91" s="15" t="str">
        <x:v>721520</x:v>
      </x:c>
      <x:c r="B91" s="12" t="str">
        <x:v>Personnel, training, and labor relations specialists</x:v>
      </x:c>
      <x:c r="C91" s="14" t="n">
        <x:v>769</x:v>
      </x:c>
      <x:c r="D91" s="54" t="str">
        <x:v>Occupation mean</x:v>
      </x:c>
      <x:c r="E91" s="55" t="str">
        <x:v>4/4</x:v>
      </x:c>
      <x:c r="F91" s="56" t="n">
        <x:v>1</x:v>
      </x:c>
      <x:c r="G91" s="18" t="n">
        <x:f>AVERAGE('ONET candidates'!H279,'ONET candidates'!H280,'ONET candidates'!H281,'ONET candidates'!H282)</x:f>
        <x:v>5.1675</x:v>
      </x:c>
      <x:c r="H91" s="18" t="n">
        <x:f>AVERAGE('ONET candidates'!I279,'ONET candidates'!I280,'ONET candidates'!I281,'ONET candidates'!I282)</x:f>
        <x:v>4.665</x:v>
      </x:c>
      <x:c r="I91" s="18" t="n">
        <x:f>AVERAGE('ONET candidates'!J279,'ONET candidates'!J280,'ONET candidates'!J281,'ONET candidates'!J282)</x:f>
        <x:v>4.5024999999999995</x:v>
      </x:c>
      <x:c r="J91" s="18" t="n">
        <x:f>AVERAGE('ONET candidates'!K279,'ONET candidates'!K280,'ONET candidates'!K281,'ONET candidates'!K282)</x:f>
        <x:v>5.75</x:v>
      </x:c>
      <x:c r="K91" s="18" t="n">
        <x:f>AVERAGE('ONET candidates'!L279,'ONET candidates'!L280,'ONET candidates'!L281,'ONET candidates'!L282)</x:f>
        <x:v>5</x:v>
      </x:c>
      <x:c r="L91" s="18" t="n">
        <x:f>AVERAGE('ONET candidates'!M279,'ONET candidates'!M280,'ONET candidates'!M281,'ONET candidates'!M282)</x:f>
        <x:v>4.5825</x:v>
      </x:c>
      <x:c r="M91" s="2" t="str">
        <x:v>4.67–5.67</x:v>
      </x:c>
      <x:c r="N91" s="2" t="str">
        <x:v>4.17–4.83</x:v>
      </x:c>
      <x:c r="O91" s="2" t="str">
        <x:v>4.00–4.67</x:v>
      </x:c>
      <x:c r="P91" s="2" t="str">
        <x:v>5.33–6.33</x:v>
      </x:c>
      <x:c r="Q91" s="2" t="str">
        <x:v>4.67–5.33</x:v>
      </x:c>
      <x:c r="R91" s="2" t="str">
        <x:v>4.00–5.33</x:v>
      </x:c>
      <x:c r="S91" s="32" t="str">
        <x:v>full</x:v>
      </x:c>
      <x:c r="T91" s="47" t="str">
        <x:v>None</x:v>
      </x:c>
    </x:row>
    <x:row r="92" ht="50.25" customHeight="1">
      <x:c r="A92" s="15" t="str">
        <x:v>721530</x:v>
      </x:c>
      <x:c r="B92" s="12" t="str">
        <x:v>Other management related occupations (e.g., buyers and purchasing agents, claims adjusters, compliance officers, logisticians, management analysts, marketing specialists) </x:v>
      </x:c>
      <x:c r="C92" s="14" t="n">
        <x:v>3381</x:v>
      </x:c>
      <x:c r="D92" s="54" t="str">
        <x:v>Occupation mean</x:v>
      </x:c>
      <x:c r="E92" s="60" t="str">
        <x:v>14/16</x:v>
      </x:c>
      <x:c r="F92" s="61" t="n">
        <x:v>0.875</x:v>
      </x:c>
      <x:c r="G92" s="18" t="n">
        <x:f>AVERAGE('ONET candidates'!H283,'ONET candidates'!H284,'ONET candidates'!H285,'ONET candidates'!H286,'ONET candidates'!H287,'ONET candidates'!H288,'ONET candidates'!H289,'ONET candidates'!H290,'ONET candidates'!H291,'ONET candidates'!H292,'ONET candidates'!H294,'ONET candidates'!H295,'ONET candidates'!H296,'ONET candidates'!H297)</x:f>
        <x:v>4.607142857142857</x:v>
      </x:c>
      <x:c r="H92" s="18" t="n">
        <x:f>AVERAGE('ONET candidates'!I283,'ONET candidates'!I284,'ONET candidates'!I285,'ONET candidates'!I286,'ONET candidates'!I287,'ONET candidates'!I288,'ONET candidates'!I289,'ONET candidates'!I290,'ONET candidates'!I291,'ONET candidates'!I292,'ONET candidates'!I294,'ONET candidates'!I295,'ONET candidates'!I296,'ONET candidates'!I297)</x:f>
        <x:v>4.505</x:v>
      </x:c>
      <x:c r="I92" s="18" t="n">
        <x:f>AVERAGE('ONET candidates'!J283,'ONET candidates'!J284,'ONET candidates'!J285,'ONET candidates'!J286,'ONET candidates'!J287,'ONET candidates'!J288,'ONET candidates'!J289,'ONET candidates'!J290,'ONET candidates'!J291,'ONET candidates'!J292,'ONET candidates'!J294,'ONET candidates'!J295,'ONET candidates'!J296,'ONET candidates'!J297)</x:f>
        <x:v>4.155</x:v>
      </x:c>
      <x:c r="J92" s="18" t="n">
        <x:f>AVERAGE('ONET candidates'!K283,'ONET candidates'!K284,'ONET candidates'!K285,'ONET candidates'!K286,'ONET candidates'!K287,'ONET candidates'!K288,'ONET candidates'!K289,'ONET candidates'!K290,'ONET candidates'!K291,'ONET candidates'!K292,'ONET candidates'!K294,'ONET candidates'!K295,'ONET candidates'!K296,'ONET candidates'!K297)</x:f>
        <x:v>4.916428571428571</x:v>
      </x:c>
      <x:c r="K92" s="18" t="n">
        <x:f>AVERAGE('ONET candidates'!L283,'ONET candidates'!L284,'ONET candidates'!L285,'ONET candidates'!L286,'ONET candidates'!L287,'ONET candidates'!L288,'ONET candidates'!L289,'ONET candidates'!L290,'ONET candidates'!L291,'ONET candidates'!L292,'ONET candidates'!L294,'ONET candidates'!L295,'ONET candidates'!L296,'ONET candidates'!L297)</x:f>
        <x:v>4.036428571428571</x:v>
      </x:c>
      <x:c r="L92" s="18" t="n">
        <x:f>AVERAGE('ONET candidates'!M283,'ONET candidates'!M284,'ONET candidates'!M285,'ONET candidates'!M286,'ONET candidates'!M287,'ONET candidates'!M288,'ONET candidates'!M289,'ONET candidates'!M290,'ONET candidates'!M291,'ONET candidates'!M292,'ONET candidates'!M294,'ONET candidates'!M295,'ONET candidates'!M296,'ONET candidates'!M297)</x:f>
        <x:v>5</x:v>
      </x:c>
      <x:c r="M92" s="2" t="str">
        <x:v>3.00–6.67</x:v>
      </x:c>
      <x:c r="N92" s="2" t="str">
        <x:v>2.83–5.33</x:v>
      </x:c>
      <x:c r="O92" s="2" t="str">
        <x:v>3.33–5.33</x:v>
      </x:c>
      <x:c r="P92" s="2" t="str">
        <x:v>3.33–6.67</x:v>
      </x:c>
      <x:c r="Q92" s="2" t="str">
        <x:v>2.67–5.00</x:v>
      </x:c>
      <x:c r="R92" s="2" t="str">
        <x:v>4.00–6.33</x:v>
      </x:c>
      <x:c r="S92" s="32" t="str">
        <x:v>partial</x:v>
      </x:c>
      <x:c r="T92" s="62" t="str">
        <x:v>Remaining occupation group</x:v>
      </x:c>
    </x:row>
    <x:row r="93" ht="34.5" customHeight="1">
      <x:c r="A93" s="15" t="str">
        <x:v>732510</x:v>
      </x:c>
      <x:c r="B93" s="12" t="str">
        <x:v>Teachers: Preschool and kindergarten </x:v>
      </x:c>
      <x:c r="C93" s="14" t="n">
        <x:v>228</x:v>
      </x:c>
      <x:c r="D93" s="54" t="str">
        <x:v>Occupation mean</x:v>
      </x:c>
      <x:c r="E93" s="55" t="str">
        <x:v>2/2</x:v>
      </x:c>
      <x:c r="F93" s="56" t="n">
        <x:v>1</x:v>
      </x:c>
      <x:c r="G93" s="18" t="n">
        <x:f>AVERAGE('ONET candidates'!H299,'ONET candidates'!H300)</x:f>
        <x:v>5</x:v>
      </x:c>
      <x:c r="H93" s="18" t="n">
        <x:f>AVERAGE('ONET candidates'!I299,'ONET candidates'!I300)</x:f>
        <x:v>4.335</x:v>
      </x:c>
      <x:c r="I93" s="18" t="n">
        <x:f>AVERAGE('ONET candidates'!J299,'ONET candidates'!J300)</x:f>
        <x:v>3.665</x:v>
      </x:c>
      <x:c r="J93" s="18" t="n">
        <x:f>AVERAGE('ONET candidates'!K299,'ONET candidates'!K300)</x:f>
        <x:v>6.5</x:v>
      </x:c>
      <x:c r="K93" s="18" t="n">
        <x:f>AVERAGE('ONET candidates'!L299,'ONET candidates'!L300)</x:f>
        <x:v>3.67</x:v>
      </x:c>
      <x:c r="L93" s="18" t="n">
        <x:f>AVERAGE('ONET candidates'!M299,'ONET candidates'!M300)</x:f>
        <x:v>4.665</x:v>
      </x:c>
      <x:c r="M93" s="2" t="str">
        <x:v>4.67–5.33</x:v>
      </x:c>
      <x:c r="N93" s="2" t="str">
        <x:v>3.67–5.00</x:v>
      </x:c>
      <x:c r="O93" s="2" t="str">
        <x:v>3.00–4.33</x:v>
      </x:c>
      <x:c r="P93" s="2" t="str">
        <x:v>6.33–6.67</x:v>
      </x:c>
      <x:c r="Q93" s="2" t="str">
        <x:v>3.67–3.67</x:v>
      </x:c>
      <x:c r="R93" s="2" t="str">
        <x:v>4.33–5.00</x:v>
      </x:c>
      <x:c r="S93" s="32" t="str">
        <x:v>full</x:v>
      </x:c>
      <x:c r="T93" s="32" t="str">
        <x:v>None</x:v>
      </x:c>
    </x:row>
    <x:row r="94" ht="34.5" customHeight="1">
      <x:c r="A94" s="15" t="str">
        <x:v>732520</x:v>
      </x:c>
      <x:c r="B94" s="12" t="str">
        <x:v>Teachers: Elementary and middle school </x:v>
      </x:c>
      <x:c r="C94" s="14" t="n">
        <x:v>1086</x:v>
      </x:c>
      <x:c r="D94" s="54" t="str">
        <x:v>Occupation mean</x:v>
      </x:c>
      <x:c r="E94" s="55" t="str">
        <x:v>3/3</x:v>
      </x:c>
      <x:c r="F94" s="56" t="n">
        <x:v>1</x:v>
      </x:c>
      <x:c r="G94" s="18" t="n">
        <x:f>AVERAGE('ONET candidates'!H301,'ONET candidates'!H302,'ONET candidates'!H303)</x:f>
        <x:v>5.333333333333333</x:v>
      </x:c>
      <x:c r="H94" s="18" t="n">
        <x:f>AVERAGE('ONET candidates'!I301,'ONET candidates'!I302,'ONET candidates'!I303)</x:f>
        <x:v>4.78</x:v>
      </x:c>
      <x:c r="I94" s="18" t="n">
        <x:f>AVERAGE('ONET candidates'!J301,'ONET candidates'!J302,'ONET candidates'!J303)</x:f>
        <x:v>4.22</x:v>
      </x:c>
      <x:c r="J94" s="18" t="n">
        <x:f>AVERAGE('ONET candidates'!K301,'ONET candidates'!K302,'ONET candidates'!K303)</x:f>
        <x:v>6.22</x:v>
      </x:c>
      <x:c r="K94" s="18" t="n">
        <x:f>AVERAGE('ONET candidates'!L301,'ONET candidates'!L302,'ONET candidates'!L303)</x:f>
        <x:v>4.22</x:v>
      </x:c>
      <x:c r="L94" s="18" t="n">
        <x:f>AVERAGE('ONET candidates'!M301,'ONET candidates'!M302,'ONET candidates'!M303)</x:f>
        <x:v>5.33</x:v>
      </x:c>
      <x:c r="M94" s="2" t="str">
        <x:v>5.00–5.67</x:v>
      </x:c>
      <x:c r="N94" s="2" t="str">
        <x:v>4.67–5.00</x:v>
      </x:c>
      <x:c r="O94" s="2" t="str">
        <x:v>4.00–4.33</x:v>
      </x:c>
      <x:c r="P94" s="2" t="str">
        <x:v>6.00–6.33</x:v>
      </x:c>
      <x:c r="Q94" s="2" t="str">
        <x:v>3.33–5.00</x:v>
      </x:c>
      <x:c r="R94" s="2" t="str">
        <x:v>5.33–5.33</x:v>
      </x:c>
      <x:c r="S94" s="32" t="str">
        <x:v>full</x:v>
      </x:c>
      <x:c r="T94" s="32" t="str">
        <x:v>None</x:v>
      </x:c>
    </x:row>
    <x:row r="95" ht="34.5" customHeight="1">
      <x:c r="A95" s="15" t="str">
        <x:v>732550</x:v>
      </x:c>
      <x:c r="B95" s="12" t="str">
        <x:v>Teachers: Secondary - other subjects</x:v>
      </x:c>
      <x:c r="C95" s="14" t="n">
        <x:v>650</x:v>
      </x:c>
      <x:c r="D95" s="54" t="str">
        <x:v>Occupation mean</x:v>
      </x:c>
      <x:c r="E95" s="55" t="str">
        <x:v>2/2</x:v>
      </x:c>
      <x:c r="F95" s="56" t="n">
        <x:v>1</x:v>
      </x:c>
      <x:c r="G95" s="18" t="n">
        <x:f>AVERAGE('ONET candidates'!H304,'ONET candidates'!H305)</x:f>
        <x:v>5.5</x:v>
      </x:c>
      <x:c r="H95" s="18" t="n">
        <x:f>AVERAGE('ONET candidates'!I304,'ONET candidates'!I305)</x:f>
        <x:v>5.08</x:v>
      </x:c>
      <x:c r="I95" s="18" t="n">
        <x:f>AVERAGE('ONET candidates'!J304,'ONET candidates'!J305)</x:f>
        <x:v>4.165</x:v>
      </x:c>
      <x:c r="J95" s="18" t="n">
        <x:f>AVERAGE('ONET candidates'!K304,'ONET candidates'!K305)</x:f>
        <x:v>6.5</x:v>
      </x:c>
      <x:c r="K95" s="18" t="n">
        <x:f>AVERAGE('ONET candidates'!L304,'ONET candidates'!L305)</x:f>
        <x:v>4.5</x:v>
      </x:c>
      <x:c r="L95" s="18" t="n">
        <x:f>AVERAGE('ONET candidates'!M304,'ONET candidates'!M305)</x:f>
        <x:v>5.165</x:v>
      </x:c>
      <x:c r="M95" s="2" t="str">
        <x:v>5.33–5.67</x:v>
      </x:c>
      <x:c r="N95" s="2" t="str">
        <x:v>4.83–5.33</x:v>
      </x:c>
      <x:c r="O95" s="2" t="str">
        <x:v>4.00–4.33</x:v>
      </x:c>
      <x:c r="P95" s="2" t="str">
        <x:v>6.00–7.00</x:v>
      </x:c>
      <x:c r="Q95" s="2" t="str">
        <x:v>4.33–4.67</x:v>
      </x:c>
      <x:c r="R95" s="2" t="str">
        <x:v>5.00–5.33</x:v>
      </x:c>
      <x:c r="S95" s="32" t="str">
        <x:v>full</x:v>
      </x:c>
      <x:c r="T95" s="47" t="str">
        <x:v>None</x:v>
      </x:c>
    </x:row>
    <x:row r="96" ht="34.5" customHeight="1">
      <x:c r="A96" s="15" t="str">
        <x:v>732560</x:v>
      </x:c>
      <x:c r="B96" s="12" t="str">
        <x:v>Teachers: Special education - primary and secondary school</x:v>
      </x:c>
      <x:c r="C96" s="14" t="n">
        <x:v>418</x:v>
      </x:c>
      <x:c r="D96" s="54" t="str">
        <x:v>Occupation mean</x:v>
      </x:c>
      <x:c r="E96" s="60" t="str">
        <x:v>2/4</x:v>
      </x:c>
      <x:c r="F96" s="61" t="n">
        <x:v>0.5</x:v>
      </x:c>
      <x:c r="G96" s="18" t="n">
        <x:f>AVERAGE('ONET candidates'!H309,'ONET candidates'!H310)</x:f>
        <x:v>5.335</x:v>
      </x:c>
      <x:c r="H96" s="18" t="n">
        <x:f>AVERAGE('ONET candidates'!I309,'ONET candidates'!I310)</x:f>
        <x:v>5.165</x:v>
      </x:c>
      <x:c r="I96" s="18" t="n">
        <x:f>AVERAGE('ONET candidates'!J309,'ONET candidates'!J310)</x:f>
        <x:v>4</x:v>
      </x:c>
      <x:c r="J96" s="18" t="n">
        <x:f>AVERAGE('ONET candidates'!K309,'ONET candidates'!K310)</x:f>
        <x:v>6.665</x:v>
      </x:c>
      <x:c r="K96" s="18" t="n">
        <x:f>AVERAGE('ONET candidates'!L309,'ONET candidates'!L310)</x:f>
        <x:v>4</x:v>
      </x:c>
      <x:c r="L96" s="18" t="n">
        <x:f>AVERAGE('ONET candidates'!M309,'ONET candidates'!M310)</x:f>
        <x:v>5</x:v>
      </x:c>
      <x:c r="M96" s="2" t="str">
        <x:v>5.00–5.67</x:v>
      </x:c>
      <x:c r="N96" s="2" t="str">
        <x:v>5.00–5.33</x:v>
      </x:c>
      <x:c r="O96" s="2" t="str">
        <x:v>3.67–4.33</x:v>
      </x:c>
      <x:c r="P96" s="2" t="str">
        <x:v>6.33–7.00</x:v>
      </x:c>
      <x:c r="Q96" s="2" t="str">
        <x:v>4.00–4.00</x:v>
      </x:c>
      <x:c r="R96" s="2" t="str">
        <x:v>4.67–5.33</x:v>
      </x:c>
      <x:c r="S96" s="32" t="str">
        <x:v>partial</x:v>
      </x:c>
      <x:c r="T96" s="62" t="str">
        <x:v>Kindergarten treated as primary</x:v>
      </x:c>
    </x:row>
    <x:row r="97" ht="34.5" customHeight="1">
      <x:c r="A97" s="15" t="str">
        <x:v>742720</x:v>
      </x:c>
      <x:c r="B97" s="12" t="str">
        <x:v>Postsecondary teachers - Art, drama, and music</x:v>
      </x:c>
      <x:c r="C97" s="14" t="n">
        <x:v>131</x:v>
      </x:c>
      <x:c r="D97" s="54" t="str">
        <x:v>Single occupation</x:v>
      </x:c>
      <x:c r="E97" s="55" t="str">
        <x:v>1/1</x:v>
      </x:c>
      <x:c r="F97" s="56" t="n">
        <x:v>1</x:v>
      </x:c>
      <x:c r="G97" s="18" t="n">
        <x:f>AVERAGE('ONET candidates'!H318)</x:f>
        <x:v>5.67</x:v>
      </x:c>
      <x:c r="H97" s="18" t="n">
        <x:f>AVERAGE('ONET candidates'!I318)</x:f>
        <x:v>5.83</x:v>
      </x:c>
      <x:c r="I97" s="18" t="n">
        <x:f>AVERAGE('ONET candidates'!J318)</x:f>
        <x:v>4.67</x:v>
      </x:c>
      <x:c r="J97" s="18" t="n">
        <x:f>AVERAGE('ONET candidates'!K318)</x:f>
        <x:v>6</x:v>
      </x:c>
      <x:c r="K97" s="18" t="n">
        <x:f>AVERAGE('ONET candidates'!L318)</x:f>
        <x:v>4.67</x:v>
      </x:c>
      <x:c r="L97" s="18" t="n">
        <x:f>AVERAGE('ONET candidates'!M318)</x:f>
        <x:v>6</x:v>
      </x:c>
      <x:c r="M97" s="2" t="str">
        <x:v>5.67–5.67</x:v>
      </x:c>
      <x:c r="N97" s="2" t="str">
        <x:v>5.83–5.83</x:v>
      </x:c>
      <x:c r="O97" s="2" t="str">
        <x:v>4.67–4.67</x:v>
      </x:c>
      <x:c r="P97" s="2" t="str">
        <x:v>6.00–6.00</x:v>
      </x:c>
      <x:c r="Q97" s="2" t="str">
        <x:v>4.67–4.67</x:v>
      </x:c>
      <x:c r="R97" s="2" t="str">
        <x:v>6.00–6.00</x:v>
      </x:c>
      <x:c r="S97" s="32" t="str">
        <x:v>full</x:v>
      </x:c>
      <x:c r="T97" s="32" t="str">
        <x:v>None</x:v>
      </x:c>
    </x:row>
    <x:row r="98" ht="34.5" customHeight="1">
      <x:c r="A98" s="15" t="str">
        <x:v>742740</x:v>
      </x:c>
      <x:c r="B98" s="12" t="str">
        <x:v>Postsecondary teachers - Business</x:v>
      </x:c>
      <x:c r="C98" s="14" t="n">
        <x:v>207</x:v>
      </x:c>
      <x:c r="D98" s="54" t="str">
        <x:v>Single occupation</x:v>
      </x:c>
      <x:c r="E98" s="55" t="str">
        <x:v>1/1</x:v>
      </x:c>
      <x:c r="F98" s="56" t="n">
        <x:v>1</x:v>
      </x:c>
      <x:c r="G98" s="18" t="n">
        <x:f>AVERAGE('ONET candidates'!H319)</x:f>
        <x:v>5.67</x:v>
      </x:c>
      <x:c r="H98" s="18" t="n">
        <x:f>AVERAGE('ONET candidates'!I319)</x:f>
        <x:v>5</x:v>
      </x:c>
      <x:c r="I98" s="18" t="n">
        <x:f>AVERAGE('ONET candidates'!J319)</x:f>
        <x:v>5.33</x:v>
      </x:c>
      <x:c r="J98" s="18" t="n">
        <x:f>AVERAGE('ONET candidates'!K319)</x:f>
        <x:v>5.33</x:v>
      </x:c>
      <x:c r="K98" s="18" t="n">
        <x:f>AVERAGE('ONET candidates'!L319)</x:f>
        <x:v>2.67</x:v>
      </x:c>
      <x:c r="L98" s="18" t="n">
        <x:f>AVERAGE('ONET candidates'!M319)</x:f>
        <x:v>5.67</x:v>
      </x:c>
      <x:c r="M98" s="2" t="str">
        <x:v>5.67–5.67</x:v>
      </x:c>
      <x:c r="N98" s="2" t="str">
        <x:v>5.00–5.00</x:v>
      </x:c>
      <x:c r="O98" s="2" t="str">
        <x:v>5.33–5.33</x:v>
      </x:c>
      <x:c r="P98" s="2" t="str">
        <x:v>5.33–5.33</x:v>
      </x:c>
      <x:c r="Q98" s="2" t="str">
        <x:v>2.67–2.67</x:v>
      </x:c>
      <x:c r="R98" s="2" t="str">
        <x:v>5.67–5.67</x:v>
      </x:c>
      <x:c r="S98" s="32" t="str">
        <x:v>full</x:v>
      </x:c>
      <x:c r="T98" s="32" t="str">
        <x:v>None</x:v>
      </x:c>
    </x:row>
    <x:row r="99" ht="34.5" customHeight="1">
      <x:c r="A99" s="15" t="str">
        <x:v>742790</x:v>
      </x:c>
      <x:c r="B99" s="12" t="str">
        <x:v>Postsecondary teachers - Education</x:v>
      </x:c>
      <x:c r="C99" s="14" t="n">
        <x:v>180</x:v>
      </x:c>
      <x:c r="D99" s="54" t="str">
        <x:v>Single occupation</x:v>
      </x:c>
      <x:c r="E99" s="55" t="str">
        <x:v>1/1</x:v>
      </x:c>
      <x:c r="F99" s="56" t="n">
        <x:v>1</x:v>
      </x:c>
      <x:c r="G99" s="18" t="n">
        <x:f>AVERAGE('ONET candidates'!H320)</x:f>
        <x:v>5.67</x:v>
      </x:c>
      <x:c r="H99" s="18" t="n">
        <x:f>AVERAGE('ONET candidates'!I320)</x:f>
        <x:v>5.67</x:v>
      </x:c>
      <x:c r="I99" s="18" t="n">
        <x:f>AVERAGE('ONET candidates'!J320)</x:f>
        <x:v>5</x:v>
      </x:c>
      <x:c r="J99" s="18" t="n">
        <x:f>AVERAGE('ONET candidates'!K320)</x:f>
        <x:v>6</x:v>
      </x:c>
      <x:c r="K99" s="18" t="n">
        <x:f>AVERAGE('ONET candidates'!L320)</x:f>
        <x:v>3.33</x:v>
      </x:c>
      <x:c r="L99" s="18" t="n">
        <x:f>AVERAGE('ONET candidates'!M320)</x:f>
        <x:v>6</x:v>
      </x:c>
      <x:c r="M99" s="2" t="str">
        <x:v>5.67–5.67</x:v>
      </x:c>
      <x:c r="N99" s="2" t="str">
        <x:v>5.67–5.67</x:v>
      </x:c>
      <x:c r="O99" s="2" t="str">
        <x:v>5.00–5.00</x:v>
      </x:c>
      <x:c r="P99" s="2" t="str">
        <x:v>6.00–6.00</x:v>
      </x:c>
      <x:c r="Q99" s="2" t="str">
        <x:v>3.33–3.33</x:v>
      </x:c>
      <x:c r="R99" s="2" t="str">
        <x:v>6.00–6.00</x:v>
      </x:c>
      <x:c r="S99" s="32" t="str">
        <x:v>full</x:v>
      </x:c>
      <x:c r="T99" s="32" t="str">
        <x:v>None</x:v>
      </x:c>
    </x:row>
    <x:row r="100" ht="34.5" customHeight="1">
      <x:c r="A100" s="15" t="str">
        <x:v>742810</x:v>
      </x:c>
      <x:c r="B100" s="12" t="str">
        <x:v>Postsecondary teachers - English language and literature</x:v>
      </x:c>
      <x:c r="C100" s="14" t="n">
        <x:v>135</x:v>
      </x:c>
      <x:c r="D100" s="54" t="str">
        <x:v>Single occupation</x:v>
      </x:c>
      <x:c r="E100" s="55" t="str">
        <x:v>1/1</x:v>
      </x:c>
      <x:c r="F100" s="56" t="n">
        <x:v>1</x:v>
      </x:c>
      <x:c r="G100" s="18" t="n">
        <x:f>AVERAGE('ONET candidates'!H321)</x:f>
        <x:v>6</x:v>
      </x:c>
      <x:c r="H100" s="18" t="n">
        <x:f>AVERAGE('ONET candidates'!I321)</x:f>
        <x:v>6</x:v>
      </x:c>
      <x:c r="I100" s="18" t="n">
        <x:f>AVERAGE('ONET candidates'!J321)</x:f>
        <x:v>5</x:v>
      </x:c>
      <x:c r="J100" s="18" t="n">
        <x:f>AVERAGE('ONET candidates'!K321)</x:f>
        <x:v>6.33</x:v>
      </x:c>
      <x:c r="K100" s="18" t="n">
        <x:f>AVERAGE('ONET candidates'!L321)</x:f>
        <x:v>3.33</x:v>
      </x:c>
      <x:c r="L100" s="18" t="n">
        <x:f>AVERAGE('ONET candidates'!M321)</x:f>
        <x:v>5.67</x:v>
      </x:c>
      <x:c r="M100" s="2" t="str">
        <x:v>6.00–6.00</x:v>
      </x:c>
      <x:c r="N100" s="2" t="str">
        <x:v>6.00–6.00</x:v>
      </x:c>
      <x:c r="O100" s="2" t="str">
        <x:v>5.00–5.00</x:v>
      </x:c>
      <x:c r="P100" s="2" t="str">
        <x:v>6.33–6.33</x:v>
      </x:c>
      <x:c r="Q100" s="2" t="str">
        <x:v>3.33–3.33</x:v>
      </x:c>
      <x:c r="R100" s="2" t="str">
        <x:v>5.67–5.67</x:v>
      </x:c>
      <x:c r="S100" s="32" t="str">
        <x:v>full</x:v>
      </x:c>
      <x:c r="T100" s="32" t="str">
        <x:v>None</x:v>
      </x:c>
    </x:row>
    <x:row r="101" ht="34.5" customHeight="1">
      <x:c r="A101" s="15" t="str">
        <x:v>742820</x:v>
      </x:c>
      <x:c r="B101" s="12" t="str">
        <x:v>Postsecondary teachers - Foreign language and literature</x:v>
      </x:c>
      <x:c r="C101" s="14" t="n">
        <x:v>137</x:v>
      </x:c>
      <x:c r="D101" s="54" t="str">
        <x:v>Single occupation</x:v>
      </x:c>
      <x:c r="E101" s="55" t="str">
        <x:v>1/1</x:v>
      </x:c>
      <x:c r="F101" s="56" t="n">
        <x:v>1</x:v>
      </x:c>
      <x:c r="G101" s="18" t="n">
        <x:f>AVERAGE('ONET candidates'!H322)</x:f>
        <x:v>5</x:v>
      </x:c>
      <x:c r="H101" s="18" t="n">
        <x:f>AVERAGE('ONET candidates'!I322)</x:f>
        <x:v>4.83</x:v>
      </x:c>
      <x:c r="I101" s="18" t="n">
        <x:f>AVERAGE('ONET candidates'!J322)</x:f>
        <x:v>4.67</x:v>
      </x:c>
      <x:c r="J101" s="18" t="n">
        <x:f>AVERAGE('ONET candidates'!K322)</x:f>
        <x:v>6</x:v>
      </x:c>
      <x:c r="K101" s="18" t="n">
        <x:f>AVERAGE('ONET candidates'!L322)</x:f>
        <x:v>2.67</x:v>
      </x:c>
      <x:c r="L101" s="18" t="n">
        <x:f>AVERAGE('ONET candidates'!M322)</x:f>
        <x:v>6</x:v>
      </x:c>
      <x:c r="M101" s="2" t="str">
        <x:v>5.00–5.00</x:v>
      </x:c>
      <x:c r="N101" s="2" t="str">
        <x:v>4.83–4.83</x:v>
      </x:c>
      <x:c r="O101" s="2" t="str">
        <x:v>4.67–4.67</x:v>
      </x:c>
      <x:c r="P101" s="2" t="str">
        <x:v>6.00–6.00</x:v>
      </x:c>
      <x:c r="Q101" s="2" t="str">
        <x:v>2.67–2.67</x:v>
      </x:c>
      <x:c r="R101" s="2" t="str">
        <x:v>6.00–6.00</x:v>
      </x:c>
      <x:c r="S101" s="32" t="str">
        <x:v>full</x:v>
      </x:c>
      <x:c r="T101" s="32" t="str">
        <x:v>None</x:v>
      </x:c>
    </x:row>
    <x:row r="102" ht="34.5" customHeight="1">
      <x:c r="A102" s="15" t="str">
        <x:v>742830</x:v>
      </x:c>
      <x:c r="B102" s="12" t="str">
        <x:v>Postsecondary teachers - History</x:v>
      </x:c>
      <x:c r="C102" s="14" t="n">
        <x:v>80</x:v>
      </x:c>
      <x:c r="D102" s="54" t="str">
        <x:v>Single occupation</x:v>
      </x:c>
      <x:c r="E102" s="55" t="str">
        <x:v>1/1</x:v>
      </x:c>
      <x:c r="F102" s="56" t="n">
        <x:v>1</x:v>
      </x:c>
      <x:c r="G102" s="18" t="n">
        <x:f>AVERAGE('ONET candidates'!H323)</x:f>
        <x:v>5.67</x:v>
      </x:c>
      <x:c r="H102" s="18" t="n">
        <x:f>AVERAGE('ONET candidates'!I323)</x:f>
        <x:v>5.5</x:v>
      </x:c>
      <x:c r="I102" s="18" t="n">
        <x:f>AVERAGE('ONET candidates'!J323)</x:f>
        <x:v>5.33</x:v>
      </x:c>
      <x:c r="J102" s="18" t="n">
        <x:f>AVERAGE('ONET candidates'!K323)</x:f>
        <x:v>4.67</x:v>
      </x:c>
      <x:c r="K102" s="18" t="n">
        <x:f>AVERAGE('ONET candidates'!L323)</x:f>
        <x:v>3.33</x:v>
      </x:c>
      <x:c r="L102" s="18" t="n">
        <x:f>AVERAGE('ONET candidates'!M323)</x:f>
        <x:v>5.67</x:v>
      </x:c>
      <x:c r="M102" s="2" t="str">
        <x:v>5.67–5.67</x:v>
      </x:c>
      <x:c r="N102" s="2" t="str">
        <x:v>5.50–5.50</x:v>
      </x:c>
      <x:c r="O102" s="2" t="str">
        <x:v>5.33–5.33</x:v>
      </x:c>
      <x:c r="P102" s="2" t="str">
        <x:v>4.67–4.67</x:v>
      </x:c>
      <x:c r="Q102" s="2" t="str">
        <x:v>3.33–3.33</x:v>
      </x:c>
      <x:c r="R102" s="2" t="str">
        <x:v>5.67–5.67</x:v>
      </x:c>
      <x:c r="S102" s="32" t="str">
        <x:v>full</x:v>
      </x:c>
      <x:c r="T102" s="32" t="str">
        <x:v>None</x:v>
      </x:c>
    </x:row>
    <x:row r="103" ht="34.5" customHeight="1">
      <x:c r="A103" s="15" t="str">
        <x:v>742880</x:v>
      </x:c>
      <x:c r="B103" s="12" t="str">
        <x:v>Postsecondary teachers - Recreation and fitness studies</x:v>
      </x:c>
      <x:c r="C103" s="14" t="n">
        <x:v>12</x:v>
      </x:c>
      <x:c r="D103" s="54" t="str">
        <x:v>Single occupation</x:v>
      </x:c>
      <x:c r="E103" s="55" t="str">
        <x:v>1/1</x:v>
      </x:c>
      <x:c r="F103" s="56" t="n">
        <x:v>1</x:v>
      </x:c>
      <x:c r="G103" s="18" t="n">
        <x:f>AVERAGE('ONET candidates'!H324)</x:f>
        <x:v>5.67</x:v>
      </x:c>
      <x:c r="H103" s="18" t="n">
        <x:f>AVERAGE('ONET candidates'!I324)</x:f>
        <x:v>4.83</x:v>
      </x:c>
      <x:c r="I103" s="18" t="n">
        <x:f>AVERAGE('ONET candidates'!J324)</x:f>
        <x:v>5</x:v>
      </x:c>
      <x:c r="J103" s="18" t="n">
        <x:f>AVERAGE('ONET candidates'!K324)</x:f>
        <x:v>6</x:v>
      </x:c>
      <x:c r="K103" s="18" t="n">
        <x:f>AVERAGE('ONET candidates'!L324)</x:f>
        <x:v>2.67</x:v>
      </x:c>
      <x:c r="L103" s="18" t="n">
        <x:f>AVERAGE('ONET candidates'!M324)</x:f>
        <x:v>5.67</x:v>
      </x:c>
      <x:c r="M103" s="2" t="str">
        <x:v>5.67–5.67</x:v>
      </x:c>
      <x:c r="N103" s="2" t="str">
        <x:v>4.83–4.83</x:v>
      </x:c>
      <x:c r="O103" s="2" t="str">
        <x:v>5.00–5.00</x:v>
      </x:c>
      <x:c r="P103" s="2" t="str">
        <x:v>6.00–6.00</x:v>
      </x:c>
      <x:c r="Q103" s="2" t="str">
        <x:v>2.67–2.67</x:v>
      </x:c>
      <x:c r="R103" s="2" t="str">
        <x:v>5.67–5.67</x:v>
      </x:c>
      <x:c r="S103" s="32" t="str">
        <x:v>full</x:v>
      </x:c>
      <x:c r="T103" s="47" t="str">
        <x:v>None</x:v>
      </x:c>
    </x:row>
    <x:row r="104" ht="34.5" customHeight="1">
      <x:c r="A104" s="15" t="str">
        <x:v>742990</x:v>
      </x:c>
      <x:c r="B104" s="12" t="str">
        <x:v>Postsecondary teachers - Other postsecondary fields</x:v>
      </x:c>
      <x:c r="C104" s="14" t="n">
        <x:v>357</x:v>
      </x:c>
      <x:c r="D104" s="54" t="str">
        <x:v>Occupation mean</x:v>
      </x:c>
      <x:c r="E104" s="60" t="str">
        <x:v>9/10</x:v>
      </x:c>
      <x:c r="F104" s="61" t="n">
        <x:v>0.9</x:v>
      </x:c>
      <x:c r="G104" s="18" t="n">
        <x:f>AVERAGE('ONET candidates'!H325,'ONET candidates'!H326,'ONET candidates'!H327,'ONET candidates'!H328,'ONET candidates'!H329,'ONET candidates'!H330,'ONET candidates'!H331,'ONET candidates'!H332,'ONET candidates'!H333)</x:f>
        <x:v>5.705555555555557</x:v>
      </x:c>
      <x:c r="H104" s="18" t="n">
        <x:f>AVERAGE('ONET candidates'!I325,'ONET candidates'!I326,'ONET candidates'!I327,'ONET candidates'!I328,'ONET candidates'!I329,'ONET candidates'!I330,'ONET candidates'!I331,'ONET candidates'!I332,'ONET candidates'!I333)</x:f>
        <x:v>5.184444444444444</x:v>
      </x:c>
      <x:c r="I104" s="18" t="n">
        <x:f>AVERAGE('ONET candidates'!J325,'ONET candidates'!J326,'ONET candidates'!J327,'ONET candidates'!J328,'ONET candidates'!J329,'ONET candidates'!J330,'ONET candidates'!J331,'ONET candidates'!J332,'ONET candidates'!J333)</x:f>
        <x:v>5.109999999999999</x:v>
      </x:c>
      <x:c r="J104" s="18" t="n">
        <x:f>AVERAGE('ONET candidates'!K325,'ONET candidates'!K326,'ONET candidates'!K327,'ONET candidates'!K328,'ONET candidates'!K329,'ONET candidates'!K330,'ONET candidates'!K331,'ONET candidates'!K332,'ONET candidates'!K333)</x:f>
        <x:v>5.296666666666667</x:v>
      </x:c>
      <x:c r="K104" s="18" t="n">
        <x:f>AVERAGE('ONET candidates'!L325,'ONET candidates'!L326,'ONET candidates'!L327,'ONET candidates'!L328,'ONET candidates'!L329,'ONET candidates'!L330,'ONET candidates'!L331,'ONET candidates'!L332,'ONET candidates'!L333)</x:f>
        <x:v>3.0377777777777784</x:v>
      </x:c>
      <x:c r="L104" s="18" t="n">
        <x:f>AVERAGE('ONET candidates'!M325,'ONET candidates'!M326,'ONET candidates'!M327,'ONET candidates'!M328,'ONET candidates'!M329,'ONET candidates'!M330,'ONET candidates'!M331,'ONET candidates'!M332,'ONET candidates'!M333)</x:f>
        <x:v>5.631111111111112</x:v>
      </x:c>
      <x:c r="M104" s="2" t="str">
        <x:v>5.00–6.00</x:v>
      </x:c>
      <x:c r="N104" s="2" t="str">
        <x:v>4.33–6.00</x:v>
      </x:c>
      <x:c r="O104" s="2" t="str">
        <x:v>4.33–5.67</x:v>
      </x:c>
      <x:c r="P104" s="2" t="str">
        <x:v>4.33–6.00</x:v>
      </x:c>
      <x:c r="Q104" s="2" t="str">
        <x:v>2.33–3.67</x:v>
      </x:c>
      <x:c r="R104" s="2" t="str">
        <x:v>5.00–6.00</x:v>
      </x:c>
      <x:c r="S104" s="32" t="str">
        <x:v>partial</x:v>
      </x:c>
      <x:c r="T104" s="62" t="str">
        <x:v>Remaining occupation group</x:v>
      </x:c>
    </x:row>
    <x:row r="105" ht="34.5" customHeight="1">
      <x:c r="A105" s="15" t="str">
        <x:v>750400</x:v>
      </x:c>
      <x:c r="B105" s="12" t="str">
        <x:v>Clergy and other religious workers</x:v>
      </x:c>
      <x:c r="C105" s="14" t="n">
        <x:v>298</x:v>
      </x:c>
      <x:c r="D105" s="54" t="str">
        <x:v>Occupation mean</x:v>
      </x:c>
      <x:c r="E105" s="60" t="str">
        <x:v>2/3</x:v>
      </x:c>
      <x:c r="F105" s="61" t="n">
        <x:v>0.6666666666666666</x:v>
      </x:c>
      <x:c r="G105" s="18" t="n">
        <x:f>AVERAGE('ONET candidates'!H336,'ONET candidates'!H337)</x:f>
        <x:v>6.17</x:v>
      </x:c>
      <x:c r="H105" s="18" t="n">
        <x:f>AVERAGE('ONET candidates'!I336,'ONET candidates'!I337)</x:f>
        <x:v>5</x:v>
      </x:c>
      <x:c r="I105" s="18" t="n">
        <x:f>AVERAGE('ONET candidates'!J336,'ONET candidates'!J337)</x:f>
        <x:v>4.5</x:v>
      </x:c>
      <x:c r="J105" s="18" t="n">
        <x:f>AVERAGE('ONET candidates'!K336,'ONET candidates'!K337)</x:f>
        <x:v>6.665</x:v>
      </x:c>
      <x:c r="K105" s="18" t="n">
        <x:f>AVERAGE('ONET candidates'!L336,'ONET candidates'!L337)</x:f>
        <x:v>3.5</x:v>
      </x:c>
      <x:c r="L105" s="18" t="n">
        <x:f>AVERAGE('ONET candidates'!M336,'ONET candidates'!M337)</x:f>
        <x:v>5.83</x:v>
      </x:c>
      <x:c r="M105" s="2" t="str">
        <x:v>5.67–6.67</x:v>
      </x:c>
      <x:c r="N105" s="2" t="str">
        <x:v>5.00–5.00</x:v>
      </x:c>
      <x:c r="O105" s="2" t="str">
        <x:v>3.67–5.33</x:v>
      </x:c>
      <x:c r="P105" s="2" t="str">
        <x:v>6.33–7.00</x:v>
      </x:c>
      <x:c r="Q105" s="2" t="str">
        <x:v>3.33–3.67</x:v>
      </x:c>
      <x:c r="R105" s="2" t="str">
        <x:v>5.33–6.33</x:v>
      </x:c>
      <x:c r="S105" s="32" t="str">
        <x:v>partial</x:v>
      </x:c>
      <x:c r="T105" s="32" t="str">
        <x:v>None</x:v>
      </x:c>
    </x:row>
    <x:row r="106" ht="37.5" customHeight="1">
      <x:c r="A106" s="15" t="str">
        <x:v>750700</x:v>
      </x:c>
      <x:c r="B106" s="12" t="str">
        <x:v>Counselors (e.g., educational, vocational, mental health, and substance abuse)</x:v>
      </x:c>
      <x:c r="C106" s="14" t="n">
        <x:v>1190</x:v>
      </x:c>
      <x:c r="D106" s="54" t="str">
        <x:v>Occupation mean</x:v>
      </x:c>
      <x:c r="E106" s="60" t="str">
        <x:v>5/6</x:v>
      </x:c>
      <x:c r="F106" s="61" t="n">
        <x:v>0.8333333333333334</x:v>
      </x:c>
      <x:c r="G106" s="18" t="n">
        <x:f>AVERAGE('ONET candidates'!H339,'ONET candidates'!H340,'ONET candidates'!H341,'ONET candidates'!H342,'ONET candidates'!H343)</x:f>
        <x:v>5.465999999999999</x:v>
      </x:c>
      <x:c r="H106" s="18" t="n">
        <x:f>AVERAGE('ONET candidates'!I339,'ONET candidates'!I340,'ONET candidates'!I341,'ONET candidates'!I342,'ONET candidates'!I343)</x:f>
        <x:v>4.566</x:v>
      </x:c>
      <x:c r="I106" s="18" t="n">
        <x:f>AVERAGE('ONET candidates'!J339,'ONET candidates'!J340,'ONET candidates'!J341,'ONET candidates'!J342,'ONET candidates'!J343)</x:f>
        <x:v>4.668</x:v>
      </x:c>
      <x:c r="J106" s="18" t="n">
        <x:f>AVERAGE('ONET candidates'!K339,'ONET candidates'!K340,'ONET candidates'!K341,'ONET candidates'!K342,'ONET candidates'!K343)</x:f>
        <x:v>6.6</x:v>
      </x:c>
      <x:c r="K106" s="18" t="n">
        <x:f>AVERAGE('ONET candidates'!L339,'ONET candidates'!L340,'ONET candidates'!L341,'ONET candidates'!L342,'ONET candidates'!L343)</x:f>
        <x:v>3.6019999999999994</x:v>
      </x:c>
      <x:c r="L106" s="18" t="n">
        <x:f>AVERAGE('ONET candidates'!M339,'ONET candidates'!M340,'ONET candidates'!M341,'ONET candidates'!M342,'ONET candidates'!M343)</x:f>
        <x:v>5</x:v>
      </x:c>
      <x:c r="M106" s="2" t="str">
        <x:v>5.33–5.67</x:v>
      </x:c>
      <x:c r="N106" s="2" t="str">
        <x:v>4.00–5.33</x:v>
      </x:c>
      <x:c r="O106" s="2" t="str">
        <x:v>4.00–5.00</x:v>
      </x:c>
      <x:c r="P106" s="2" t="str">
        <x:v>6.00–7.00</x:v>
      </x:c>
      <x:c r="Q106" s="2" t="str">
        <x:v>2.67–4.67</x:v>
      </x:c>
      <x:c r="R106" s="2" t="str">
        <x:v>4.00–6.00</x:v>
      </x:c>
      <x:c r="S106" s="32" t="str">
        <x:v>partial</x:v>
      </x:c>
      <x:c r="T106" s="32" t="str">
        <x:v>None</x:v>
      </x:c>
    </x:row>
    <x:row r="107" ht="34.5" customHeight="1">
      <x:c r="A107" s="15" t="str">
        <x:v>752400</x:v>
      </x:c>
      <x:c r="B107" s="12" t="str">
        <x:v>Social workers</x:v>
      </x:c>
      <x:c r="C107" s="14" t="n">
        <x:v>446</x:v>
      </x:c>
      <x:c r="D107" s="54" t="str">
        <x:v>Occupation mean</x:v>
      </x:c>
      <x:c r="E107" s="60" t="str">
        <x:v>3/4</x:v>
      </x:c>
      <x:c r="F107" s="61" t="n">
        <x:v>0.75</x:v>
      </x:c>
      <x:c r="G107" s="18" t="n">
        <x:f>AVERAGE('ONET candidates'!H345,'ONET candidates'!H346,'ONET candidates'!H347)</x:f>
        <x:v>5.890000000000001</x:v>
      </x:c>
      <x:c r="H107" s="18" t="n">
        <x:f>AVERAGE('ONET candidates'!I345,'ONET candidates'!I346,'ONET candidates'!I347)</x:f>
        <x:v>4.886666666666667</x:v>
      </x:c>
      <x:c r="I107" s="18" t="n">
        <x:f>AVERAGE('ONET candidates'!J345,'ONET candidates'!J346,'ONET candidates'!J347)</x:f>
        <x:v>4</x:v>
      </x:c>
      <x:c r="J107" s="18" t="n">
        <x:f>AVERAGE('ONET candidates'!K345,'ONET candidates'!K346,'ONET candidates'!K347)</x:f>
        <x:v>6.446666666666666</x:v>
      </x:c>
      <x:c r="K107" s="18" t="n">
        <x:f>AVERAGE('ONET candidates'!L345,'ONET candidates'!L346,'ONET candidates'!L347)</x:f>
        <x:v>4.67</x:v>
      </x:c>
      <x:c r="L107" s="18" t="n">
        <x:f>AVERAGE('ONET candidates'!M345,'ONET candidates'!M346,'ONET candidates'!M347)</x:f>
        <x:v>5.4433333333333325</x:v>
      </x:c>
      <x:c r="M107" s="2" t="str">
        <x:v>5.67–6.00</x:v>
      </x:c>
      <x:c r="N107" s="2" t="str">
        <x:v>4.33–5.33</x:v>
      </x:c>
      <x:c r="O107" s="2" t="str">
        <x:v>3.67–4.33</x:v>
      </x:c>
      <x:c r="P107" s="2" t="str">
        <x:v>6.00–6.67</x:v>
      </x:c>
      <x:c r="Q107" s="2" t="str">
        <x:v>4.67–4.67</x:v>
      </x:c>
      <x:c r="R107" s="2" t="str">
        <x:v>5.33–5.67</x:v>
      </x:c>
      <x:c r="S107" s="32" t="str">
        <x:v>partial</x:v>
      </x:c>
      <x:c r="T107" s="32" t="str">
        <x:v>None</x:v>
      </x:c>
    </x:row>
    <x:row r="108" ht="37.5" customHeight="1">
      <x:c r="A108" s="15" t="str">
        <x:v>752410</x:v>
      </x:c>
      <x:c r="B108" s="12" t="str">
        <x:v>Miscellaneous community and social service specialists (e.g., probation officers and correctional treatment specialists)</x:v>
      </x:c>
      <x:c r="C108" s="14" t="n">
        <x:v>659</x:v>
      </x:c>
      <x:c r="D108" s="54" t="str">
        <x:v>Occupation mean</x:v>
      </x:c>
      <x:c r="E108" s="60" t="str">
        <x:v>4/5</x:v>
      </x:c>
      <x:c r="F108" s="61" t="n">
        <x:v>0.8</x:v>
      </x:c>
      <x:c r="G108" s="18" t="n">
        <x:f>AVERAGE('ONET candidates'!H349,'ONET candidates'!H350,'ONET candidates'!H351,'ONET candidates'!H352)</x:f>
        <x:v>4.6675</x:v>
      </x:c>
      <x:c r="H108" s="18" t="n">
        <x:f>AVERAGE('ONET candidates'!I349,'ONET candidates'!I350,'ONET candidates'!I351,'ONET candidates'!I352)</x:f>
        <x:v>4.335</x:v>
      </x:c>
      <x:c r="I108" s="18" t="n">
        <x:f>AVERAGE('ONET candidates'!J349,'ONET candidates'!J350,'ONET candidates'!J351,'ONET candidates'!J352)</x:f>
        <x:v>3.8325</x:v>
      </x:c>
      <x:c r="J108" s="18" t="n">
        <x:f>AVERAGE('ONET candidates'!K349,'ONET candidates'!K350,'ONET candidates'!K351,'ONET candidates'!K352)</x:f>
        <x:v>6.3325</x:v>
      </x:c>
      <x:c r="K108" s="18" t="n">
        <x:f>AVERAGE('ONET candidates'!L349,'ONET candidates'!L350,'ONET candidates'!L351,'ONET candidates'!L352)</x:f>
        <x:v>4.415</x:v>
      </x:c>
      <x:c r="L108" s="18" t="n">
        <x:f>AVERAGE('ONET candidates'!M349,'ONET candidates'!M350,'ONET candidates'!M351,'ONET candidates'!M352)</x:f>
        <x:v>4.75</x:v>
      </x:c>
      <x:c r="M108" s="2" t="str">
        <x:v>3.67–6.00</x:v>
      </x:c>
      <x:c r="N108" s="2" t="str">
        <x:v>3.50–4.67</x:v>
      </x:c>
      <x:c r="O108" s="2" t="str">
        <x:v>3.33–4.33</x:v>
      </x:c>
      <x:c r="P108" s="2" t="str">
        <x:v>5.33–7.00</x:v>
      </x:c>
      <x:c r="Q108" s="2" t="str">
        <x:v>2.33–6.00</x:v>
      </x:c>
      <x:c r="R108" s="2" t="str">
        <x:v>3.67–6.00</x:v>
      </x:c>
      <x:c r="S108" s="32" t="str">
        <x:v>partial</x:v>
      </x:c>
      <x:c r="T108" s="32" t="str">
        <x:v>None</x:v>
      </x:c>
    </x:row>
    <x:row r="109" ht="37.5" customHeight="1">
      <x:c r="A109" s="15" t="str">
        <x:v>762000</x:v>
      </x:c>
      <x:c r="B109" s="12" t="str">
        <x:v>Sales representatives: services (e.g., insurance, securities, real estate, and business services)</x:v>
      </x:c>
      <x:c r="C109" s="14" t="n">
        <x:v>1147</x:v>
      </x:c>
      <x:c r="D109" s="54" t="str">
        <x:v>Occupation mean</x:v>
      </x:c>
      <x:c r="E109" s="60" t="str">
        <x:v>6/7</x:v>
      </x:c>
      <x:c r="F109" s="61" t="n">
        <x:v>0.8571428571428571</x:v>
      </x:c>
      <x:c r="G109" s="18" t="n">
        <x:f>AVERAGE('ONET candidates'!H354,'ONET candidates'!H355,'ONET candidates'!H356,'ONET candidates'!H357,'ONET candidates'!H359,'ONET candidates'!H360)</x:f>
        <x:v>4.75</x:v>
      </x:c>
      <x:c r="H109" s="18" t="n">
        <x:f>AVERAGE('ONET candidates'!I354,'ONET candidates'!I355,'ONET candidates'!I356,'ONET candidates'!I357,'ONET candidates'!I359,'ONET candidates'!I360)</x:f>
        <x:v>4.416666666666667</x:v>
      </x:c>
      <x:c r="I109" s="18" t="n">
        <x:f>AVERAGE('ONET candidates'!J354,'ONET candidates'!J355,'ONET candidates'!J356,'ONET candidates'!J357,'ONET candidates'!J359,'ONET candidates'!J360)</x:f>
        <x:v>4.125</x:v>
      </x:c>
      <x:c r="J109" s="18" t="n">
        <x:f>AVERAGE('ONET candidates'!K354,'ONET candidates'!K355,'ONET candidates'!K356,'ONET candidates'!K357,'ONET candidates'!K359,'ONET candidates'!K360)</x:f>
        <x:v>5.18</x:v>
      </x:c>
      <x:c r="K109" s="18" t="n">
        <x:f>AVERAGE('ONET candidates'!L354,'ONET candidates'!L355,'ONET candidates'!L356,'ONET candidates'!L357,'ONET candidates'!L359,'ONET candidates'!L360)</x:f>
        <x:v>3.9599999999999995</x:v>
      </x:c>
      <x:c r="L109" s="18" t="n">
        <x:f>AVERAGE('ONET candidates'!M354,'ONET candidates'!M355,'ONET candidates'!M356,'ONET candidates'!M357,'ONET candidates'!M359,'ONET candidates'!M360)</x:f>
        <x:v>4.8999999999999995</x:v>
      </x:c>
      <x:c r="M109" s="2" t="str">
        <x:v>3.33–5.33</x:v>
      </x:c>
      <x:c r="N109" s="2" t="str">
        <x:v>3.17–5.33</x:v>
      </x:c>
      <x:c r="O109" s="2" t="str">
        <x:v>3.33–4.67</x:v>
      </x:c>
      <x:c r="P109" s="2" t="str">
        <x:v>4.67–6.33</x:v>
      </x:c>
      <x:c r="Q109" s="2" t="str">
        <x:v>3.00–4.67</x:v>
      </x:c>
      <x:c r="R109" s="2" t="str">
        <x:v>3.33–5.33</x:v>
      </x:c>
      <x:c r="S109" s="32" t="str">
        <x:v>partial</x:v>
      </x:c>
      <x:c r="T109" s="32" t="str">
        <x:v>None</x:v>
      </x:c>
    </x:row>
    <x:row r="110" ht="37.5" customHeight="1">
      <x:c r="A110" s="15" t="str">
        <x:v>762010</x:v>
      </x:c>
      <x:c r="B110" s="12" t="str">
        <x:v>Sales representatives: wholesale and manufacturing (e.g., industrial machinery/equipment/supplies)</x:v>
      </x:c>
      <x:c r="C110" s="14" t="n">
        <x:v>506</x:v>
      </x:c>
      <x:c r="D110" s="54" t="str">
        <x:v>Occupation mean</x:v>
      </x:c>
      <x:c r="E110" s="55" t="str">
        <x:v>2/2</x:v>
      </x:c>
      <x:c r="F110" s="56" t="n">
        <x:v>1</x:v>
      </x:c>
      <x:c r="G110" s="18" t="n">
        <x:f>AVERAGE('ONET candidates'!H361,'ONET candidates'!H362)</x:f>
        <x:v>4.67</x:v>
      </x:c>
      <x:c r="H110" s="18" t="n">
        <x:f>AVERAGE('ONET candidates'!I361,'ONET candidates'!I362)</x:f>
        <x:v>4.67</x:v>
      </x:c>
      <x:c r="I110" s="18" t="n">
        <x:f>AVERAGE('ONET candidates'!J361,'ONET candidates'!J362)</x:f>
        <x:v>3.835</x:v>
      </x:c>
      <x:c r="J110" s="18" t="n">
        <x:f>AVERAGE('ONET candidates'!K361,'ONET candidates'!K362)</x:f>
        <x:v>4.665</x:v>
      </x:c>
      <x:c r="K110" s="18" t="n">
        <x:f>AVERAGE('ONET candidates'!L361,'ONET candidates'!L362)</x:f>
        <x:v>3.67</x:v>
      </x:c>
      <x:c r="L110" s="18" t="n">
        <x:f>AVERAGE('ONET candidates'!M361,'ONET candidates'!M362)</x:f>
        <x:v>4.835</x:v>
      </x:c>
      <x:c r="M110" s="2" t="str">
        <x:v>4.67–4.67</x:v>
      </x:c>
      <x:c r="N110" s="2" t="str">
        <x:v>4.67–4.67</x:v>
      </x:c>
      <x:c r="O110" s="2" t="str">
        <x:v>3.67–4.00</x:v>
      </x:c>
      <x:c r="P110" s="2" t="str">
        <x:v>4.33–5.00</x:v>
      </x:c>
      <x:c r="Q110" s="2" t="str">
        <x:v>3.67–3.67</x:v>
      </x:c>
      <x:c r="R110" s="2" t="str">
        <x:v>4.67–5.00</x:v>
      </x:c>
      <x:c r="S110" s="32" t="str">
        <x:v>full</x:v>
      </x:c>
      <x:c r="T110" s="32" t="str">
        <x:v>None</x:v>
      </x:c>
    </x:row>
    <x:row r="111" ht="37.5" customHeight="1">
      <x:c r="A111" s="1" t="str">
        <x:v>762020</x:v>
      </x:c>
      <x:c r="B111" s="32" t="str">
        <x:v>Retail sales workers (e.g., furnishings, clothing, motor vehicles, cosmetics)</x:v>
      </x:c>
      <x:c r="C111" s="33" t="n">
        <x:v>594</x:v>
      </x:c>
      <x:c r="D111" s="57" t="str">
        <x:v>Occupation mean</x:v>
      </x:c>
      <x:c r="E111" s="58" t="str">
        <x:v>6/6</x:v>
      </x:c>
      <x:c r="F111" s="59" t="n">
        <x:v>1</x:v>
      </x:c>
      <x:c r="G111" s="36" t="n">
        <x:f>AVERAGE('ONET candidates'!H363,'ONET candidates'!H364,'ONET candidates'!H365,'ONET candidates'!H366,'ONET candidates'!H367,'ONET candidates'!H368)</x:f>
        <x:v>2.7783333333333338</x:v>
      </x:c>
      <x:c r="H111" s="36" t="n">
        <x:f>AVERAGE('ONET candidates'!I363,'ONET candidates'!I364,'ONET candidates'!I365,'ONET candidates'!I366,'ONET candidates'!I367,'ONET candidates'!I368)</x:f>
        <x:v>2.6950000000000003</x:v>
      </x:c>
      <x:c r="I111" s="36" t="n">
        <x:f>AVERAGE('ONET candidates'!J363,'ONET candidates'!J364,'ONET candidates'!J365,'ONET candidates'!J366,'ONET candidates'!J367,'ONET candidates'!J368)</x:f>
        <x:v>2.5016666666666665</x:v>
      </x:c>
      <x:c r="J111" s="36" t="n">
        <x:f>AVERAGE('ONET candidates'!K363,'ONET candidates'!K364,'ONET candidates'!K365,'ONET candidates'!K366,'ONET candidates'!K367,'ONET candidates'!K368)</x:f>
        <x:v>4.555</x:v>
      </x:c>
      <x:c r="K111" s="36" t="n">
        <x:f>AVERAGE('ONET candidates'!L363,'ONET candidates'!L364,'ONET candidates'!L365,'ONET candidates'!L366,'ONET candidates'!L367,'ONET candidates'!L368)</x:f>
        <x:v>3.888333333333333</x:v>
      </x:c>
      <x:c r="L111" s="36" t="n">
        <x:f>AVERAGE('ONET candidates'!M363,'ONET candidates'!M364,'ONET candidates'!M365,'ONET candidates'!M366,'ONET candidates'!M367,'ONET candidates'!M368)</x:f>
        <x:v>3.28</x:v>
      </x:c>
      <x:c r="M111" s="1" t="str">
        <x:v>2.33–3.67</x:v>
      </x:c>
      <x:c r="N111" s="1" t="str">
        <x:v>2.17–4.00</x:v>
      </x:c>
      <x:c r="O111" s="1" t="str">
        <x:v>2.00–3.67</x:v>
      </x:c>
      <x:c r="P111" s="1" t="str">
        <x:v>4.33–5.00</x:v>
      </x:c>
      <x:c r="Q111" s="1" t="str">
        <x:v>3.33–4.33</x:v>
      </x:c>
      <x:c r="R111" s="1" t="str">
        <x:v>2.67–4.67</x:v>
      </x:c>
      <x:c r="S111" s="32" t="str">
        <x:v>full</x:v>
      </x:c>
      <x:c r="T111" s="32" t="str">
        <x:v>None</x:v>
      </x:c>
    </x:row>
    <x:row r="112" ht="34.5" customHeight="1">
      <x:c r="A112" s="1" t="str">
        <x:v>762030</x:v>
      </x:c>
      <x:c r="B112" s="32" t="str">
        <x:v>Miscellaneous sales and related workers</x:v>
      </x:c>
      <x:c r="C112" s="33" t="n">
        <x:v>851</x:v>
      </x:c>
      <x:c r="D112" s="57" t="str">
        <x:v>Occupation mean</x:v>
      </x:c>
      <x:c r="E112" s="63" t="str">
        <x:v>5/6</x:v>
      </x:c>
      <x:c r="F112" s="64" t="n">
        <x:v>0.8333333333333334</x:v>
      </x:c>
      <x:c r="G112" s="36" t="n">
        <x:f>AVERAGE('ONET candidates'!H369,'ONET candidates'!H370,'ONET candidates'!H371,'ONET candidates'!H372,'ONET candidates'!H373)</x:f>
        <x:v>3.134</x:v>
      </x:c>
      <x:c r="H112" s="36" t="n">
        <x:f>AVERAGE('ONET candidates'!I369,'ONET candidates'!I370,'ONET candidates'!I371,'ONET candidates'!I372,'ONET candidates'!I373)</x:f>
        <x:v>3</x:v>
      </x:c>
      <x:c r="I112" s="36" t="n">
        <x:f>AVERAGE('ONET candidates'!J369,'ONET candidates'!J370,'ONET candidates'!J371,'ONET candidates'!J372,'ONET candidates'!J373)</x:f>
        <x:v>3.066</x:v>
      </x:c>
      <x:c r="J112" s="36" t="n">
        <x:f>AVERAGE('ONET candidates'!K369,'ONET candidates'!K370,'ONET candidates'!K371,'ONET candidates'!K372,'ONET candidates'!K373)</x:f>
        <x:v>4.868</x:v>
      </x:c>
      <x:c r="K112" s="36" t="n">
        <x:f>AVERAGE('ONET candidates'!L369,'ONET candidates'!L370,'ONET candidates'!L371,'ONET candidates'!L372,'ONET candidates'!L373)</x:f>
        <x:v>3.002</x:v>
      </x:c>
      <x:c r="L112" s="36" t="n">
        <x:f>AVERAGE('ONET candidates'!M369,'ONET candidates'!M370,'ONET candidates'!M371,'ONET candidates'!M372,'ONET candidates'!M373)</x:f>
        <x:v>3.3340000000000005</x:v>
      </x:c>
      <x:c r="M112" s="1" t="str">
        <x:v>1.67–4.33</x:v>
      </x:c>
      <x:c r="N112" s="1" t="str">
        <x:v>1.83–5.17</x:v>
      </x:c>
      <x:c r="O112" s="1" t="str">
        <x:v>2.00–4.00</x:v>
      </x:c>
      <x:c r="P112" s="1" t="str">
        <x:v>3.67–5.67</x:v>
      </x:c>
      <x:c r="Q112" s="1" t="str">
        <x:v>1.67–5.00</x:v>
      </x:c>
      <x:c r="R112" s="1" t="str">
        <x:v>1.67–5.33</x:v>
      </x:c>
      <x:c r="S112" s="32" t="str">
        <x:v>partial</x:v>
      </x:c>
      <x:c r="T112" s="32" t="str">
        <x:v>None</x:v>
      </x:c>
    </x:row>
    <x:row r="113" ht="37.5" customHeight="1">
      <x:c r="A113" s="1" t="str">
        <x:v>770100</x:v>
      </x:c>
      <x:c r="B113" s="32" t="str">
        <x:v>Writers, editors, public relations specialists, artists, entertainers, broadcasters, and historiansd</x:v>
      </x:c>
      <x:c r="C113" s="33" t="n">
        <x:v>1206</x:v>
      </x:c>
      <x:c r="D113" s="57" t="str">
        <x:v>Occupation mean</x:v>
      </x:c>
      <x:c r="E113" s="63" t="str">
        <x:v>35/42</x:v>
      </x:c>
      <x:c r="F113" s="64" t="n">
        <x:v>0.8333333333333334</x:v>
      </x:c>
      <x:c r="G113" s="36" t="n">
        <x:f>AVERAGE('ONET candidates'!H375,'ONET candidates'!H376,'ONET candidates'!H377,'ONET candidates'!H378,'ONET candidates'!H379,'ONET candidates'!H381,'ONET candidates'!H382,'ONET candidates'!H383,'ONET candidates'!H384,'ONET candidates'!H385,'ONET candidates'!H386,'ONET candidates'!H387,'ONET candidates'!H389,'ONET candidates'!H390,'ONET candidates'!H391,'ONET candidates'!H392,'ONET candidates'!H393,'ONET candidates'!H394,'ONET candidates'!H395,'ONET candidates'!H396,'ONET candidates'!H397,'ONET candidates'!H400,'ONET candidates'!H401,'ONET candidates'!H402,'ONET candidates'!H403,'ONET candidates'!H404,'ONET candidates'!H405,'ONET candidates'!H406,'ONET candidates'!H407,'ONET candidates'!H409,'ONET candidates'!H410,'ONET candidates'!H411,'ONET candidates'!H413,'ONET candidates'!H414,'ONET candidates'!H415)</x:f>
        <x:v>5.166857142857144</x:v>
      </x:c>
      <x:c r="H113" s="36" t="n">
        <x:f>AVERAGE('ONET candidates'!I375,'ONET candidates'!I376,'ONET candidates'!I377,'ONET candidates'!I378,'ONET candidates'!I379,'ONET candidates'!I381,'ONET candidates'!I382,'ONET candidates'!I383,'ONET candidates'!I384,'ONET candidates'!I385,'ONET candidates'!I386,'ONET candidates'!I387,'ONET candidates'!I389,'ONET candidates'!I390,'ONET candidates'!I391,'ONET candidates'!I392,'ONET candidates'!I393,'ONET candidates'!I394,'ONET candidates'!I395,'ONET candidates'!I396,'ONET candidates'!I397,'ONET candidates'!I400,'ONET candidates'!I401,'ONET candidates'!I402,'ONET candidates'!I403,'ONET candidates'!I404,'ONET candidates'!I405,'ONET candidates'!I406,'ONET candidates'!I407,'ONET candidates'!I409,'ONET candidates'!I410,'ONET candidates'!I411,'ONET candidates'!I413,'ONET candidates'!I414,'ONET candidates'!I415)</x:f>
        <x:v>4.281428571428572</x:v>
      </x:c>
      <x:c r="I113" s="36" t="n">
        <x:f>AVERAGE('ONET candidates'!J375,'ONET candidates'!J376,'ONET candidates'!J377,'ONET candidates'!J378,'ONET candidates'!J379,'ONET candidates'!J381,'ONET candidates'!J382,'ONET candidates'!J383,'ONET candidates'!J384,'ONET candidates'!J385,'ONET candidates'!J386,'ONET candidates'!J387,'ONET candidates'!J389,'ONET candidates'!J390,'ONET candidates'!J391,'ONET candidates'!J392,'ONET candidates'!J393,'ONET candidates'!J394,'ONET candidates'!J395,'ONET candidates'!J396,'ONET candidates'!J397,'ONET candidates'!J400,'ONET candidates'!J401,'ONET candidates'!J402,'ONET candidates'!J403,'ONET candidates'!J404,'ONET candidates'!J405,'ONET candidates'!J406,'ONET candidates'!J407,'ONET candidates'!J409,'ONET candidates'!J410,'ONET candidates'!J411,'ONET candidates'!J413,'ONET candidates'!J414,'ONET candidates'!J415)</x:f>
        <x:v>4.276857142857143</x:v>
      </x:c>
      <x:c r="J113" s="36" t="n">
        <x:f>AVERAGE('ONET candidates'!K375,'ONET candidates'!K376,'ONET candidates'!K377,'ONET candidates'!K378,'ONET candidates'!K379,'ONET candidates'!K381,'ONET candidates'!K382,'ONET candidates'!K383,'ONET candidates'!K384,'ONET candidates'!K385,'ONET candidates'!K386,'ONET candidates'!K387,'ONET candidates'!K389,'ONET candidates'!K390,'ONET candidates'!K391,'ONET candidates'!K392,'ONET candidates'!K393,'ONET candidates'!K394,'ONET candidates'!K395,'ONET candidates'!K396,'ONET candidates'!K397,'ONET candidates'!K400,'ONET candidates'!K401,'ONET candidates'!K402,'ONET candidates'!K403,'ONET candidates'!K404,'ONET candidates'!K405,'ONET candidates'!K406,'ONET candidates'!K407,'ONET candidates'!K409,'ONET candidates'!K410,'ONET candidates'!K411,'ONET candidates'!K413,'ONET candidates'!K414,'ONET candidates'!K415)</x:f>
        <x:v>4.509428571428572</x:v>
      </x:c>
      <x:c r="K113" s="36" t="n">
        <x:f>AVERAGE('ONET candidates'!L375,'ONET candidates'!L376,'ONET candidates'!L377,'ONET candidates'!L378,'ONET candidates'!L379,'ONET candidates'!L381,'ONET candidates'!L382,'ONET candidates'!L383,'ONET candidates'!L384,'ONET candidates'!L385,'ONET candidates'!L386,'ONET candidates'!L387,'ONET candidates'!L389,'ONET candidates'!L390,'ONET candidates'!L391,'ONET candidates'!L392,'ONET candidates'!L393,'ONET candidates'!L394,'ONET candidates'!L395,'ONET candidates'!L396,'ONET candidates'!L397,'ONET candidates'!L400,'ONET candidates'!L401,'ONET candidates'!L402,'ONET candidates'!L403,'ONET candidates'!L404,'ONET candidates'!L405,'ONET candidates'!L406,'ONET candidates'!L407,'ONET candidates'!L409,'ONET candidates'!L410,'ONET candidates'!L411,'ONET candidates'!L413,'ONET candidates'!L414,'ONET candidates'!L415)</x:f>
        <x:v>3.3720000000000003</x:v>
      </x:c>
      <x:c r="L113" s="36" t="n">
        <x:f>AVERAGE('ONET candidates'!M375,'ONET candidates'!M376,'ONET candidates'!M377,'ONET candidates'!M378,'ONET candidates'!M379,'ONET candidates'!M381,'ONET candidates'!M382,'ONET candidates'!M383,'ONET candidates'!M384,'ONET candidates'!M385,'ONET candidates'!M386,'ONET candidates'!M387,'ONET candidates'!M389,'ONET candidates'!M390,'ONET candidates'!M391,'ONET candidates'!M392,'ONET candidates'!M393,'ONET candidates'!M394,'ONET candidates'!M395,'ONET candidates'!M396,'ONET candidates'!M397,'ONET candidates'!M400,'ONET candidates'!M401,'ONET candidates'!M402,'ONET candidates'!M403,'ONET candidates'!M404,'ONET candidates'!M405,'ONET candidates'!M406,'ONET candidates'!M407,'ONET candidates'!M409,'ONET candidates'!M410,'ONET candidates'!M411,'ONET candidates'!M413,'ONET candidates'!M414,'ONET candidates'!M415)</x:f>
        <x:v>4.962285714285714</x:v>
      </x:c>
      <x:c r="M113" s="1" t="str">
        <x:v>3.00–6.33</x:v>
      </x:c>
      <x:c r="N113" s="1" t="str">
        <x:v>3.00–5.83</x:v>
      </x:c>
      <x:c r="O113" s="1" t="str">
        <x:v>2.33–6.00</x:v>
      </x:c>
      <x:c r="P113" s="1" t="str">
        <x:v>1.67–6.00</x:v>
      </x:c>
      <x:c r="Q113" s="1" t="str">
        <x:v>2.00–5.00</x:v>
      </x:c>
      <x:c r="R113" s="1" t="str">
        <x:v>3.33–6.33</x:v>
      </x:c>
      <x:c r="S113" s="32" t="str">
        <x:v>partial</x:v>
      </x:c>
      <x:c r="T113" s="32" t="str">
        <x:v>None</x:v>
      </x:c>
    </x:row>
    <x:row r="114" ht="34.5" customHeight="1">
      <x:c r="A114" s="1" t="str">
        <x:v>780310</x:v>
      </x:c>
      <x:c r="B114" s="32" t="str">
        <x:v>Bookkeeping, accounting, and auditing clerks</x:v>
      </x:c>
      <x:c r="C114" s="33" t="n">
        <x:v>378</x:v>
      </x:c>
      <x:c r="D114" s="57" t="str">
        <x:v>Single occupation</x:v>
      </x:c>
      <x:c r="E114" s="58" t="str">
        <x:v>1/1</x:v>
      </x:c>
      <x:c r="F114" s="59" t="n">
        <x:v>1</x:v>
      </x:c>
      <x:c r="G114" s="36" t="n">
        <x:f>AVERAGE('ONET candidates'!H417)</x:f>
        <x:v>3.67</x:v>
      </x:c>
      <x:c r="H114" s="36" t="n">
        <x:f>AVERAGE('ONET candidates'!I417)</x:f>
        <x:v>3.67</x:v>
      </x:c>
      <x:c r="I114" s="36" t="n">
        <x:f>AVERAGE('ONET candidates'!J417)</x:f>
        <x:v>3</x:v>
      </x:c>
      <x:c r="J114" s="36" t="n">
        <x:f>AVERAGE('ONET candidates'!K417)</x:f>
        <x:v>4.67</x:v>
      </x:c>
      <x:c r="K114" s="36" t="n">
        <x:f>AVERAGE('ONET candidates'!L417)</x:f>
        <x:v>5</x:v>
      </x:c>
      <x:c r="L114" s="36" t="n">
        <x:f>AVERAGE('ONET candidates'!M417)</x:f>
        <x:v>3.67</x:v>
      </x:c>
      <x:c r="M114" s="1" t="str">
        <x:v>3.67–3.67</x:v>
      </x:c>
      <x:c r="N114" s="1" t="str">
        <x:v>3.67–3.67</x:v>
      </x:c>
      <x:c r="O114" s="1" t="str">
        <x:v>3.00–3.00</x:v>
      </x:c>
      <x:c r="P114" s="1" t="str">
        <x:v>4.67–4.67</x:v>
      </x:c>
      <x:c r="Q114" s="1" t="str">
        <x:v>5.00–5.00</x:v>
      </x:c>
      <x:c r="R114" s="1" t="str">
        <x:v>3.67–3.67</x:v>
      </x:c>
      <x:c r="S114" s="32" t="str">
        <x:v>full</x:v>
      </x:c>
      <x:c r="T114" s="32" t="str">
        <x:v>None</x:v>
      </x:c>
    </x:row>
    <x:row r="115" ht="34.5" customHeight="1">
      <x:c r="A115" s="1" t="str">
        <x:v>780320</x:v>
      </x:c>
      <x:c r="B115" s="32" t="str">
        <x:v>Secretaries and administrative assistants, and receptionists</x:v>
      </x:c>
      <x:c r="C115" s="33" t="n">
        <x:v>574</x:v>
      </x:c>
      <x:c r="D115" s="57" t="str">
        <x:v>Occupation mean</x:v>
      </x:c>
      <x:c r="E115" s="58" t="str">
        <x:v>5/5</x:v>
      </x:c>
      <x:c r="F115" s="59" t="n">
        <x:v>1</x:v>
      </x:c>
      <x:c r="G115" s="36" t="n">
        <x:f>AVERAGE('ONET candidates'!H418,'ONET candidates'!H419,'ONET candidates'!H420,'ONET candidates'!H421,'ONET candidates'!H422)</x:f>
        <x:v>3.2659999999999996</x:v>
      </x:c>
      <x:c r="H115" s="36" t="n">
        <x:f>AVERAGE('ONET candidates'!I418,'ONET candidates'!I419,'ONET candidates'!I420,'ONET candidates'!I421,'ONET candidates'!I422)</x:f>
        <x:v>3.432</x:v>
      </x:c>
      <x:c r="I115" s="36" t="n">
        <x:f>AVERAGE('ONET candidates'!J418,'ONET candidates'!J419,'ONET candidates'!J420,'ONET candidates'!J421,'ONET candidates'!J422)</x:f>
        <x:v>2.8</x:v>
      </x:c>
      <x:c r="J115" s="36" t="n">
        <x:f>AVERAGE('ONET candidates'!K418,'ONET candidates'!K419,'ONET candidates'!K420,'ONET candidates'!K421,'ONET candidates'!K422)</x:f>
        <x:v>5.2</x:v>
      </x:c>
      <x:c r="K115" s="36" t="n">
        <x:f>AVERAGE('ONET candidates'!L418,'ONET candidates'!L419,'ONET candidates'!L420,'ONET candidates'!L421,'ONET candidates'!L422)</x:f>
        <x:v>4.6659999999999995</x:v>
      </x:c>
      <x:c r="L115" s="36" t="n">
        <x:f>AVERAGE('ONET candidates'!M418,'ONET candidates'!M419,'ONET candidates'!M420,'ONET candidates'!M421,'ONET candidates'!M422)</x:f>
        <x:v>3</x:v>
      </x:c>
      <x:c r="M115" s="1" t="str">
        <x:v>3.00–3.67</x:v>
      </x:c>
      <x:c r="N115" s="1" t="str">
        <x:v>2.67–3.83</x:v>
      </x:c>
      <x:c r="O115" s="1" t="str">
        <x:v>2.33–3.00</x:v>
      </x:c>
      <x:c r="P115" s="1" t="str">
        <x:v>4.67–5.67</x:v>
      </x:c>
      <x:c r="Q115" s="1" t="str">
        <x:v>4.00–5.00</x:v>
      </x:c>
      <x:c r="R115" s="1" t="str">
        <x:v>2.67–3.33</x:v>
      </x:c>
      <x:c r="S115" s="32" t="str">
        <x:v>full</x:v>
      </x:c>
      <x:c r="T115" s="47" t="str">
        <x:v>None</x:v>
      </x:c>
    </x:row>
    <x:row r="116" ht="34.5" customHeight="1">
      <x:c r="A116" s="1" t="str">
        <x:v>780330</x:v>
      </x:c>
      <x:c r="B116" s="32" t="str">
        <x:v>Other office and administrative support workers</x:v>
      </x:c>
      <x:c r="C116" s="33" t="n">
        <x:v>1955</x:v>
      </x:c>
      <x:c r="D116" s="57" t="str">
        <x:v>Occupation mean</x:v>
      </x:c>
      <x:c r="E116" s="63" t="str">
        <x:v>44/48</x:v>
      </x:c>
      <x:c r="F116" s="64" t="n">
        <x:v>0.9166666666666666</x:v>
      </x:c>
      <x:c r="G116" s="36" t="n">
        <x:f>AVERAGE('ONET candidates'!H423,'ONET candidates'!H424,'ONET candidates'!H425,'ONET candidates'!H427,'ONET candidates'!H428,'ONET candidates'!H429,'ONET candidates'!H430,'ONET candidates'!H431,'ONET candidates'!H432,'ONET candidates'!H434,'ONET candidates'!H435,'ONET candidates'!H436,'ONET candidates'!H437,'ONET candidates'!H438,'ONET candidates'!H439,'ONET candidates'!H440,'ONET candidates'!H441,'ONET candidates'!H442,'ONET candidates'!H443,'ONET candidates'!H444,'ONET candidates'!H445,'ONET candidates'!H446,'ONET candidates'!H447,'ONET candidates'!H448,'ONET candidates'!H450,'ONET candidates'!H451,'ONET candidates'!H452,'ONET candidates'!H453,'ONET candidates'!H454,'ONET candidates'!H455,'ONET candidates'!H456,'ONET candidates'!H457,'ONET candidates'!H458,'ONET candidates'!H459,'ONET candidates'!H460,'ONET candidates'!H461,'ONET candidates'!H462,'ONET candidates'!H463,'ONET candidates'!H464,'ONET candidates'!H465,'ONET candidates'!H466,'ONET candidates'!H467,'ONET candidates'!H468,'ONET candidates'!H469)</x:f>
        <x:v>2.931363636363636</x:v>
      </x:c>
      <x:c r="H116" s="36" t="n">
        <x:f>AVERAGE('ONET candidates'!I423,'ONET candidates'!I424,'ONET candidates'!I425,'ONET candidates'!I427,'ONET candidates'!I428,'ONET candidates'!I429,'ONET candidates'!I430,'ONET candidates'!I431,'ONET candidates'!I432,'ONET candidates'!I434,'ONET candidates'!I435,'ONET candidates'!I436,'ONET candidates'!I437,'ONET candidates'!I438,'ONET candidates'!I439,'ONET candidates'!I440,'ONET candidates'!I441,'ONET candidates'!I442,'ONET candidates'!I443,'ONET candidates'!I444,'ONET candidates'!I445,'ONET candidates'!I446,'ONET candidates'!I447,'ONET candidates'!I448,'ONET candidates'!I450,'ONET candidates'!I451,'ONET candidates'!I452,'ONET candidates'!I453,'ONET candidates'!I454,'ONET candidates'!I455,'ONET candidates'!I456,'ONET candidates'!I457,'ONET candidates'!I458,'ONET candidates'!I459,'ONET candidates'!I460,'ONET candidates'!I461,'ONET candidates'!I462,'ONET candidates'!I463,'ONET candidates'!I464,'ONET candidates'!I465,'ONET candidates'!I466,'ONET candidates'!I467,'ONET candidates'!I468,'ONET candidates'!I469)</x:f>
        <x:v>3.1631818181818185</x:v>
      </x:c>
      <x:c r="I116" s="36" t="n">
        <x:f>AVERAGE('ONET candidates'!J423,'ONET candidates'!J424,'ONET candidates'!J425,'ONET candidates'!J427,'ONET candidates'!J428,'ONET candidates'!J429,'ONET candidates'!J430,'ONET candidates'!J431,'ONET candidates'!J432,'ONET candidates'!J434,'ONET candidates'!J435,'ONET candidates'!J436,'ONET candidates'!J437,'ONET candidates'!J438,'ONET candidates'!J439,'ONET candidates'!J440,'ONET candidates'!J441,'ONET candidates'!J442,'ONET candidates'!J443,'ONET candidates'!J444,'ONET candidates'!J445,'ONET candidates'!J446,'ONET candidates'!J447,'ONET candidates'!J448,'ONET candidates'!J450,'ONET candidates'!J451,'ONET candidates'!J452,'ONET candidates'!J453,'ONET candidates'!J454,'ONET candidates'!J455,'ONET candidates'!J456,'ONET candidates'!J457,'ONET candidates'!J458,'ONET candidates'!J459,'ONET candidates'!J460,'ONET candidates'!J461,'ONET candidates'!J462,'ONET candidates'!J463,'ONET candidates'!J464,'ONET candidates'!J465,'ONET candidates'!J466,'ONET candidates'!J467,'ONET candidates'!J468,'ONET candidates'!J469)</x:f>
        <x:v>2.6852272727272726</x:v>
      </x:c>
      <x:c r="J116" s="36" t="n">
        <x:f>AVERAGE('ONET candidates'!K423,'ONET candidates'!K424,'ONET candidates'!K425,'ONET candidates'!K427,'ONET candidates'!K428,'ONET candidates'!K429,'ONET candidates'!K430,'ONET candidates'!K431,'ONET candidates'!K432,'ONET candidates'!K434,'ONET candidates'!K435,'ONET candidates'!K436,'ONET candidates'!K437,'ONET candidates'!K438,'ONET candidates'!K439,'ONET candidates'!K440,'ONET candidates'!K441,'ONET candidates'!K442,'ONET candidates'!K443,'ONET candidates'!K444,'ONET candidates'!K445,'ONET candidates'!K446,'ONET candidates'!K447,'ONET candidates'!K448,'ONET candidates'!K450,'ONET candidates'!K451,'ONET candidates'!K452,'ONET candidates'!K453,'ONET candidates'!K454,'ONET candidates'!K455,'ONET candidates'!K456,'ONET candidates'!K457,'ONET candidates'!K458,'ONET candidates'!K459,'ONET candidates'!K460,'ONET candidates'!K461,'ONET candidates'!K462,'ONET candidates'!K463,'ONET candidates'!K464,'ONET candidates'!K465,'ONET candidates'!K466,'ONET candidates'!K467,'ONET candidates'!K468,'ONET candidates'!K469)</x:f>
        <x:v>4.595454545454546</x:v>
      </x:c>
      <x:c r="K116" s="36" t="n">
        <x:f>AVERAGE('ONET candidates'!L423,'ONET candidates'!L424,'ONET candidates'!L425,'ONET candidates'!L427,'ONET candidates'!L428,'ONET candidates'!L429,'ONET candidates'!L430,'ONET candidates'!L431,'ONET candidates'!L432,'ONET candidates'!L434,'ONET candidates'!L435,'ONET candidates'!L436,'ONET candidates'!L437,'ONET candidates'!L438,'ONET candidates'!L439,'ONET candidates'!L440,'ONET candidates'!L441,'ONET candidates'!L442,'ONET candidates'!L443,'ONET candidates'!L444,'ONET candidates'!L445,'ONET candidates'!L446,'ONET candidates'!L447,'ONET candidates'!L448,'ONET candidates'!L450,'ONET candidates'!L451,'ONET candidates'!L452,'ONET candidates'!L453,'ONET candidates'!L454,'ONET candidates'!L455,'ONET candidates'!L456,'ONET candidates'!L457,'ONET candidates'!L458,'ONET candidates'!L459,'ONET candidates'!L460,'ONET candidates'!L461,'ONET candidates'!L462,'ONET candidates'!L463,'ONET candidates'!L464,'ONET candidates'!L465,'ONET candidates'!L466,'ONET candidates'!L467,'ONET candidates'!L468,'ONET candidates'!L469)</x:f>
        <x:v>4.343409090909091</x:v>
      </x:c>
      <x:c r="L116" s="36" t="n">
        <x:f>AVERAGE('ONET candidates'!M423,'ONET candidates'!M424,'ONET candidates'!M425,'ONET candidates'!M427,'ONET candidates'!M428,'ONET candidates'!M429,'ONET candidates'!M430,'ONET candidates'!M431,'ONET candidates'!M432,'ONET candidates'!M434,'ONET candidates'!M435,'ONET candidates'!M436,'ONET candidates'!M437,'ONET candidates'!M438,'ONET candidates'!M439,'ONET candidates'!M440,'ONET candidates'!M441,'ONET candidates'!M442,'ONET candidates'!M443,'ONET candidates'!M444,'ONET candidates'!M445,'ONET candidates'!M446,'ONET candidates'!M447,'ONET candidates'!M448,'ONET candidates'!M450,'ONET candidates'!M451,'ONET candidates'!M452,'ONET candidates'!M453,'ONET candidates'!M454,'ONET candidates'!M455,'ONET candidates'!M456,'ONET candidates'!M457,'ONET candidates'!M458,'ONET candidates'!M459,'ONET candidates'!M460,'ONET candidates'!M461,'ONET candidates'!M462,'ONET candidates'!M463,'ONET candidates'!M464,'ONET candidates'!M465,'ONET candidates'!M466,'ONET candidates'!M467,'ONET candidates'!M468,'ONET candidates'!M469)</x:f>
        <x:v>3.4572727272727266</x:v>
      </x:c>
      <x:c r="M116" s="1" t="str">
        <x:v>2.00–5.00</x:v>
      </x:c>
      <x:c r="N116" s="1" t="str">
        <x:v>2.17–4.83</x:v>
      </x:c>
      <x:c r="O116" s="1" t="str">
        <x:v>1.67–4.33</x:v>
      </x:c>
      <x:c r="P116" s="1" t="str">
        <x:v>2.33–6.00</x:v>
      </x:c>
      <x:c r="Q116" s="1" t="str">
        <x:v>3.00–6.00</x:v>
      </x:c>
      <x:c r="R116" s="1" t="str">
        <x:v>2.00–5.33</x:v>
      </x:c>
      <x:c r="S116" s="32" t="str">
        <x:v>partial</x:v>
      </x:c>
      <x:c r="T116" s="62" t="str">
        <x:v>Remaining occupation group</x:v>
      </x:c>
    </x:row>
    <x:row r="117" ht="34.5" customHeight="1">
      <x:c r="A117" s="1" t="str">
        <x:v>781100</x:v>
      </x:c>
      <x:c r="B117" s="32" t="str">
        <x:v>Farming, fishing, and forestry occupations</x:v>
      </x:c>
      <x:c r="C117" s="33" t="n">
        <x:v>593</x:v>
      </x:c>
      <x:c r="D117" s="57" t="str">
        <x:v>Occupation mean</x:v>
      </x:c>
      <x:c r="E117" s="63" t="str">
        <x:v>12/14</x:v>
      </x:c>
      <x:c r="F117" s="64" t="n">
        <x:v>0.8571428571428571</x:v>
      </x:c>
      <x:c r="G117" s="36" t="n">
        <x:f>AVERAGE('ONET candidates'!H471,'ONET candidates'!H472,'ONET candidates'!H473,'ONET candidates'!H474,'ONET candidates'!H475,'ONET candidates'!H476,'ONET candidates'!H477,'ONET candidates'!H479,'ONET candidates'!H480,'ONET candidates'!H481,'ONET candidates'!H482,'ONET candidates'!H483)</x:f>
        <x:v>2.889166666666666</x:v>
      </x:c>
      <x:c r="H117" s="36" t="n">
        <x:f>AVERAGE('ONET candidates'!I471,'ONET candidates'!I472,'ONET candidates'!I473,'ONET candidates'!I474,'ONET candidates'!I475,'ONET candidates'!I476,'ONET candidates'!I477,'ONET candidates'!I479,'ONET candidates'!I480,'ONET candidates'!I481,'ONET candidates'!I482,'ONET candidates'!I483)</x:f>
        <x:v>3.0216666666666665</x:v>
      </x:c>
      <x:c r="I117" s="36" t="n">
        <x:f>AVERAGE('ONET candidates'!J471,'ONET candidates'!J472,'ONET candidates'!J473,'ONET candidates'!J474,'ONET candidates'!J475,'ONET candidates'!J476,'ONET candidates'!J477,'ONET candidates'!J479,'ONET candidates'!J480,'ONET candidates'!J481,'ONET candidates'!J482,'ONET candidates'!J483)</x:f>
        <x:v>2.2641666666666667</x:v>
      </x:c>
      <x:c r="J117" s="36" t="n">
        <x:f>AVERAGE('ONET candidates'!K471,'ONET candidates'!K472,'ONET candidates'!K473,'ONET candidates'!K474,'ONET candidates'!K475,'ONET candidates'!K476,'ONET candidates'!K477,'ONET candidates'!K479,'ONET candidates'!K480,'ONET candidates'!K481,'ONET candidates'!K482,'ONET candidates'!K483)</x:f>
        <x:v>3.0683333333333334</x:v>
      </x:c>
      <x:c r="K117" s="36" t="n">
        <x:f>AVERAGE('ONET candidates'!L471,'ONET candidates'!L472,'ONET candidates'!L473,'ONET candidates'!L474,'ONET candidates'!L475,'ONET candidates'!L476,'ONET candidates'!L477,'ONET candidates'!L479,'ONET candidates'!L480,'ONET candidates'!L481,'ONET candidates'!L482,'ONET candidates'!L483)</x:f>
        <x:v>4.270833333333333</x:v>
      </x:c>
      <x:c r="L117" s="36" t="n">
        <x:f>AVERAGE('ONET candidates'!M471,'ONET candidates'!M472,'ONET candidates'!M473,'ONET candidates'!M474,'ONET candidates'!M475,'ONET candidates'!M476,'ONET candidates'!M477,'ONET candidates'!M479,'ONET candidates'!M480,'ONET candidates'!M481,'ONET candidates'!M482,'ONET candidates'!M483)</x:f>
        <x:v>3.7225</x:v>
      </x:c>
      <x:c r="M117" s="1" t="str">
        <x:v>1.00–4.67</x:v>
      </x:c>
      <x:c r="N117" s="1" t="str">
        <x:v>2.00–4.25</x:v>
      </x:c>
      <x:c r="O117" s="1" t="str">
        <x:v>1.00–4.33</x:v>
      </x:c>
      <x:c r="P117" s="1" t="str">
        <x:v>2.00–4.33</x:v>
      </x:c>
      <x:c r="Q117" s="1" t="str">
        <x:v>3.00–6.00</x:v>
      </x:c>
      <x:c r="R117" s="1" t="str">
        <x:v>2.00–5.17</x:v>
      </x:c>
      <x:c r="S117" s="32" t="str">
        <x:v>partial</x:v>
      </x:c>
      <x:c r="T117" s="32" t="str">
        <x:v>None</x:v>
      </x:c>
    </x:row>
    <x:row r="118" ht="34.5" customHeight="1">
      <x:c r="A118" s="1" t="str">
        <x:v>781200</x:v>
      </x:c>
      <x:c r="B118" s="32" t="str">
        <x:v>Lawyers, judges, and related workers</x:v>
      </x:c>
      <x:c r="C118" s="33" t="n">
        <x:v>1192</x:v>
      </x:c>
      <x:c r="D118" s="57" t="str">
        <x:v>Occupation mean</x:v>
      </x:c>
      <x:c r="E118" s="58" t="str">
        <x:v>5/5</x:v>
      </x:c>
      <x:c r="F118" s="59" t="n">
        <x:v>1</x:v>
      </x:c>
      <x:c r="G118" s="36" t="n">
        <x:f>AVERAGE('ONET candidates'!H485,'ONET candidates'!H486,'ONET candidates'!H487,'ONET candidates'!H488,'ONET candidates'!H489)</x:f>
        <x:v>5.6659999999999995</x:v>
      </x:c>
      <x:c r="H118" s="36" t="n">
        <x:f>AVERAGE('ONET candidates'!I485,'ONET candidates'!I486,'ONET candidates'!I487,'ONET candidates'!I488,'ONET candidates'!I489)</x:f>
        <x:v>5.331999999999999</x:v>
      </x:c>
      <x:c r="I118" s="36" t="n">
        <x:f>AVERAGE('ONET candidates'!J485,'ONET candidates'!J486,'ONET candidates'!J487,'ONET candidates'!J488,'ONET candidates'!J489)</x:f>
        <x:v>5.4</x:v>
      </x:c>
      <x:c r="J118" s="36" t="n">
        <x:f>AVERAGE('ONET candidates'!K485,'ONET candidates'!K486,'ONET candidates'!K487,'ONET candidates'!K488,'ONET candidates'!K489)</x:f>
        <x:v>5.0680000000000005</x:v>
      </x:c>
      <x:c r="K118" s="36" t="n">
        <x:f>AVERAGE('ONET candidates'!L485,'ONET candidates'!L486,'ONET candidates'!L487,'ONET candidates'!L488,'ONET candidates'!L489)</x:f>
        <x:v>4.13</x:v>
      </x:c>
      <x:c r="L118" s="36" t="n">
        <x:f>AVERAGE('ONET candidates'!M485,'ONET candidates'!M486,'ONET candidates'!M487,'ONET candidates'!M488,'ONET candidates'!M489)</x:f>
        <x:v>5.332</x:v>
      </x:c>
      <x:c r="M118" s="1" t="str">
        <x:v>5.00–6.33</x:v>
      </x:c>
      <x:c r="N118" s="1" t="str">
        <x:v>4.33–6.33</x:v>
      </x:c>
      <x:c r="O118" s="1" t="str">
        <x:v>3.67–6.33</x:v>
      </x:c>
      <x:c r="P118" s="1" t="str">
        <x:v>3.67–6.67</x:v>
      </x:c>
      <x:c r="Q118" s="1" t="str">
        <x:v>3.33–4.33</x:v>
      </x:c>
      <x:c r="R118" s="1" t="str">
        <x:v>3.00–7.00</x:v>
      </x:c>
      <x:c r="S118" s="32" t="str">
        <x:v>full</x:v>
      </x:c>
      <x:c r="T118" s="32" t="str">
        <x:v>None</x:v>
      </x:c>
    </x:row>
    <x:row r="119" ht="34.5" customHeight="1">
      <x:c r="A119" s="1" t="str">
        <x:v>781250</x:v>
      </x:c>
      <x:c r="B119" s="32" t="str">
        <x:v>Legal support workers (e.g., paralegals, legal assistants)</x:v>
      </x:c>
      <x:c r="C119" s="33" t="n">
        <x:v>287</x:v>
      </x:c>
      <x:c r="D119" s="57" t="str">
        <x:v>Occupation mean</x:v>
      </x:c>
      <x:c r="E119" s="63" t="str">
        <x:v>2/3</x:v>
      </x:c>
      <x:c r="F119" s="64" t="n">
        <x:v>0.6666666666666666</x:v>
      </x:c>
      <x:c r="G119" s="36" t="n">
        <x:f>AVERAGE('ONET candidates'!H490,'ONET candidates'!H491)</x:f>
        <x:v>4</x:v>
      </x:c>
      <x:c r="H119" s="36" t="n">
        <x:f>AVERAGE('ONET candidates'!I490,'ONET candidates'!I491)</x:f>
        <x:v>4.165</x:v>
      </x:c>
      <x:c r="I119" s="36" t="n">
        <x:f>AVERAGE('ONET candidates'!J490,'ONET candidates'!J491)</x:f>
        <x:v>3.17</x:v>
      </x:c>
      <x:c r="J119" s="36" t="n">
        <x:f>AVERAGE('ONET candidates'!K490,'ONET candidates'!K491)</x:f>
        <x:v>4.335</x:v>
      </x:c>
      <x:c r="K119" s="36" t="n">
        <x:f>AVERAGE('ONET candidates'!L490,'ONET candidates'!L491)</x:f>
        <x:v>4.665</x:v>
      </x:c>
      <x:c r="L119" s="36" t="n">
        <x:f>AVERAGE('ONET candidates'!M490,'ONET candidates'!M491)</x:f>
        <x:v>3.5</x:v>
      </x:c>
      <x:c r="M119" s="1" t="str">
        <x:v>4.00–4.00</x:v>
      </x:c>
      <x:c r="N119" s="1" t="str">
        <x:v>4.00–4.33</x:v>
      </x:c>
      <x:c r="O119" s="1" t="str">
        <x:v>2.67–3.67</x:v>
      </x:c>
      <x:c r="P119" s="1" t="str">
        <x:v>3.67–5.00</x:v>
      </x:c>
      <x:c r="Q119" s="1" t="str">
        <x:v>4.33–5.00</x:v>
      </x:c>
      <x:c r="R119" s="1" t="str">
        <x:v>3.00–4.00</x:v>
      </x:c>
      <x:c r="S119" s="32" t="str">
        <x:v>partial</x:v>
      </x:c>
      <x:c r="T119" s="47" t="str">
        <x:v>None</x:v>
      </x:c>
    </x:row>
    <x:row r="120" ht="34.5" customHeight="1">
      <x:c r="A120" s="1" t="str">
        <x:v>781300</x:v>
      </x:c>
      <x:c r="B120" s="32" t="str">
        <x:v>Librarians, archivists, and curators</x:v>
      </x:c>
      <x:c r="C120" s="33" t="n">
        <x:v>235</x:v>
      </x:c>
      <x:c r="D120" s="57" t="str">
        <x:v>Occupation mean</x:v>
      </x:c>
      <x:c r="E120" s="58" t="str">
        <x:v>5/5</x:v>
      </x:c>
      <x:c r="F120" s="59" t="n">
        <x:v>1</x:v>
      </x:c>
      <x:c r="G120" s="36" t="n">
        <x:f>AVERAGE('ONET candidates'!H493,'ONET candidates'!H494,'ONET candidates'!H495,'ONET candidates'!H496,'ONET candidates'!H497)</x:f>
        <x:v>4.536</x:v>
      </x:c>
      <x:c r="H120" s="36" t="n">
        <x:f>AVERAGE('ONET candidates'!I493,'ONET candidates'!I494,'ONET candidates'!I495,'ONET candidates'!I496,'ONET candidates'!I497)</x:f>
        <x:v>4.516</x:v>
      </x:c>
      <x:c r="I120" s="36" t="n">
        <x:f>AVERAGE('ONET candidates'!J493,'ONET candidates'!J494,'ONET candidates'!J495,'ONET candidates'!J496,'ONET candidates'!J497)</x:f>
        <x:v>3.8</x:v>
      </x:c>
      <x:c r="J120" s="36" t="n">
        <x:f>AVERAGE('ONET candidates'!K493,'ONET candidates'!K494,'ONET candidates'!K495,'ONET candidates'!K496,'ONET candidates'!K497)</x:f>
        <x:v>4.831999999999999</x:v>
      </x:c>
      <x:c r="K120" s="36" t="n">
        <x:f>AVERAGE('ONET candidates'!L493,'ONET candidates'!L494,'ONET candidates'!L495,'ONET candidates'!L496,'ONET candidates'!L497)</x:f>
        <x:v>3.9</x:v>
      </x:c>
      <x:c r="L120" s="36" t="n">
        <x:f>AVERAGE('ONET candidates'!M493,'ONET candidates'!M494,'ONET candidates'!M495,'ONET candidates'!M496,'ONET candidates'!M497)</x:f>
        <x:v>4.8340000000000005</x:v>
      </x:c>
      <x:c r="M120" s="1" t="str">
        <x:v>3.00–5.67</x:v>
      </x:c>
      <x:c r="N120" s="1" t="str">
        <x:v>3.50–5.42</x:v>
      </x:c>
      <x:c r="O120" s="1" t="str">
        <x:v>2.33–5.00</x:v>
      </x:c>
      <x:c r="P120" s="1" t="str">
        <x:v>4.00–5.83</x:v>
      </x:c>
      <x:c r="Q120" s="1" t="str">
        <x:v>3.00–4.67</x:v>
      </x:c>
      <x:c r="R120" s="1" t="str">
        <x:v>3.67–6.00</x:v>
      </x:c>
      <x:c r="S120" s="32" t="str">
        <x:v>full</x:v>
      </x:c>
      <x:c r="T120" s="62" t="str">
        <x:v>Full occupation family</x:v>
      </x:c>
    </x:row>
    <x:row r="121" ht="37.5" customHeight="1">
      <x:c r="A121" s="1" t="str">
        <x:v>782210</x:v>
      </x:c>
      <x:c r="B121" s="32" t="str">
        <x:v>Food preparation and service occupations (e.g., cooks, waitresses, bartenders)</x:v>
      </x:c>
      <x:c r="C121" s="33" t="n">
        <x:v>346</x:v>
      </x:c>
      <x:c r="D121" s="57" t="str">
        <x:v>Occupation mean</x:v>
      </x:c>
      <x:c r="E121" s="63" t="str">
        <x:v>15/17</x:v>
      </x:c>
      <x:c r="F121" s="64" t="n">
        <x:v>0.8823529411764706</x:v>
      </x:c>
      <x:c r="G121" s="36" t="n">
        <x:f>AVERAGE('ONET candidates'!H498,'ONET candidates'!H499,'ONET candidates'!H500,'ONET candidates'!H501,'ONET candidates'!H502,'ONET candidates'!H503,'ONET candidates'!H504,'ONET candidates'!H506,'ONET candidates'!H507,'ONET candidates'!H508,'ONET candidates'!H509,'ONET candidates'!H510,'ONET candidates'!H511,'ONET candidates'!H512,'ONET candidates'!H513)</x:f>
        <x:v>2.5340000000000003</x:v>
      </x:c>
      <x:c r="H121" s="36" t="n">
        <x:f>AVERAGE('ONET candidates'!I498,'ONET candidates'!I499,'ONET candidates'!I500,'ONET candidates'!I501,'ONET candidates'!I502,'ONET candidates'!I503,'ONET candidates'!I504,'ONET candidates'!I506,'ONET candidates'!I507,'ONET candidates'!I508,'ONET candidates'!I509,'ONET candidates'!I510,'ONET candidates'!I511,'ONET candidates'!I512,'ONET candidates'!I513)</x:f>
        <x:v>2.4613333333333336</x:v>
      </x:c>
      <x:c r="I121" s="36" t="n">
        <x:f>AVERAGE('ONET candidates'!J498,'ONET candidates'!J499,'ONET candidates'!J500,'ONET candidates'!J501,'ONET candidates'!J502,'ONET candidates'!J503,'ONET candidates'!J504,'ONET candidates'!J506,'ONET candidates'!J507,'ONET candidates'!J508,'ONET candidates'!J509,'ONET candidates'!J510,'ONET candidates'!J511,'ONET candidates'!J512,'ONET candidates'!J513)</x:f>
        <x:v>2.3793333333333337</x:v>
      </x:c>
      <x:c r="J121" s="36" t="n">
        <x:f>AVERAGE('ONET candidates'!K498,'ONET candidates'!K499,'ONET candidates'!K500,'ONET candidates'!K501,'ONET candidates'!K502,'ONET candidates'!K503,'ONET candidates'!K504,'ONET candidates'!K506,'ONET candidates'!K507,'ONET candidates'!K508,'ONET candidates'!K509,'ONET candidates'!K510,'ONET candidates'!K511,'ONET candidates'!K512,'ONET candidates'!K513)</x:f>
        <x:v>4.6113333333333335</x:v>
      </x:c>
      <x:c r="K121" s="36" t="n">
        <x:f>AVERAGE('ONET candidates'!L498,'ONET candidates'!L499,'ONET candidates'!L500,'ONET candidates'!L501,'ONET candidates'!L502,'ONET candidates'!L503,'ONET candidates'!L504,'ONET candidates'!L506,'ONET candidates'!L507,'ONET candidates'!L508,'ONET candidates'!L509,'ONET candidates'!L510,'ONET candidates'!L511,'ONET candidates'!L512,'ONET candidates'!L513)</x:f>
        <x:v>3.600666666666667</x:v>
      </x:c>
      <x:c r="L121" s="36" t="n">
        <x:f>AVERAGE('ONET candidates'!M498,'ONET candidates'!M499,'ONET candidates'!M500,'ONET candidates'!M501,'ONET candidates'!M502,'ONET candidates'!M503,'ONET candidates'!M504,'ONET candidates'!M506,'ONET candidates'!M507,'ONET candidates'!M508,'ONET candidates'!M509,'ONET candidates'!M510,'ONET candidates'!M511,'ONET candidates'!M512,'ONET candidates'!M513)</x:f>
        <x:v>3.1659999999999995</x:v>
      </x:c>
      <x:c r="M121" s="1" t="str">
        <x:v>1.67–5.00</x:v>
      </x:c>
      <x:c r="N121" s="1" t="str">
        <x:v>1.50–4.50</x:v>
      </x:c>
      <x:c r="O121" s="1" t="str">
        <x:v>1.67–5.33</x:v>
      </x:c>
      <x:c r="P121" s="1" t="str">
        <x:v>3.00–6.00</x:v>
      </x:c>
      <x:c r="Q121" s="1" t="str">
        <x:v>2.00–4.67</x:v>
      </x:c>
      <x:c r="R121" s="1" t="str">
        <x:v>1.67–6.00</x:v>
      </x:c>
      <x:c r="S121" s="32" t="str">
        <x:v>partial</x:v>
      </x:c>
      <x:c r="T121" s="32" t="str">
        <x:v>None</x:v>
      </x:c>
    </x:row>
    <x:row r="122" ht="37.5" customHeight="1">
      <x:c r="A122" s="1" t="str">
        <x:v>782220</x:v>
      </x:c>
      <x:c r="B122" s="32" t="str">
        <x:v>Protective services occupations (e.g., firefighters, police, guards, wardens, park rangers)</x:v>
      </x:c>
      <x:c r="C122" s="33" t="n">
        <x:v>419</x:v>
      </x:c>
      <x:c r="D122" s="57" t="str">
        <x:v>Occupation mean</x:v>
      </x:c>
      <x:c r="E122" s="63" t="str">
        <x:v>20/24</x:v>
      </x:c>
      <x:c r="F122" s="64" t="n">
        <x:v>0.8333333333333334</x:v>
      </x:c>
      <x:c r="G122" s="36" t="n">
        <x:f>AVERAGE('ONET candidates'!H515,'ONET candidates'!H516,'ONET candidates'!H517,'ONET candidates'!H520,'ONET candidates'!H521,'ONET candidates'!H522,'ONET candidates'!H523,'ONET candidates'!H524,'ONET candidates'!H525,'ONET candidates'!H526,'ONET candidates'!H527,'ONET candidates'!H528,'ONET candidates'!H529,'ONET candidates'!H530,'ONET candidates'!H531,'ONET candidates'!H532,'ONET candidates'!H533,'ONET candidates'!H534,'ONET candidates'!H535,'ONET candidates'!H536)</x:f>
        <x:v>4.325</x:v>
      </x:c>
      <x:c r="H122" s="36" t="n">
        <x:f>AVERAGE('ONET candidates'!I515,'ONET candidates'!I516,'ONET candidates'!I517,'ONET candidates'!I520,'ONET candidates'!I521,'ONET candidates'!I522,'ONET candidates'!I523,'ONET candidates'!I524,'ONET candidates'!I525,'ONET candidates'!I526,'ONET candidates'!I527,'ONET candidates'!I528,'ONET candidates'!I529,'ONET candidates'!I530,'ONET candidates'!I531,'ONET candidates'!I532,'ONET candidates'!I533,'ONET candidates'!I534,'ONET candidates'!I535,'ONET candidates'!I536)</x:f>
        <x:v>3.975</x:v>
      </x:c>
      <x:c r="I122" s="36" t="n">
        <x:f>AVERAGE('ONET candidates'!J515,'ONET candidates'!J516,'ONET candidates'!J517,'ONET candidates'!J520,'ONET candidates'!J521,'ONET candidates'!J522,'ONET candidates'!J523,'ONET candidates'!J524,'ONET candidates'!J525,'ONET candidates'!J526,'ONET candidates'!J527,'ONET candidates'!J528,'ONET candidates'!J529,'ONET candidates'!J530,'ONET candidates'!J531,'ONET candidates'!J532,'ONET candidates'!J533,'ONET candidates'!J534,'ONET candidates'!J535,'ONET candidates'!J536)</x:f>
        <x:v>3.8319999999999994</x:v>
      </x:c>
      <x:c r="J122" s="36" t="n">
        <x:f>AVERAGE('ONET candidates'!K515,'ONET candidates'!K516,'ONET candidates'!K517,'ONET candidates'!K520,'ONET candidates'!K521,'ONET candidates'!K522,'ONET candidates'!K523,'ONET candidates'!K524,'ONET candidates'!K525,'ONET candidates'!K526,'ONET candidates'!K527,'ONET candidates'!K528,'ONET candidates'!K529,'ONET candidates'!K530,'ONET candidates'!K531,'ONET candidates'!K532,'ONET candidates'!K533,'ONET candidates'!K534,'ONET candidates'!K535,'ONET candidates'!K536)</x:f>
        <x:v>4.6415</x:v>
      </x:c>
      <x:c r="K122" s="36" t="n">
        <x:f>AVERAGE('ONET candidates'!L515,'ONET candidates'!L516,'ONET candidates'!L517,'ONET candidates'!L520,'ONET candidates'!L521,'ONET candidates'!L522,'ONET candidates'!L523,'ONET candidates'!L524,'ONET candidates'!L525,'ONET candidates'!L526,'ONET candidates'!L527,'ONET candidates'!L528,'ONET candidates'!L529,'ONET candidates'!L530,'ONET candidates'!L531,'ONET candidates'!L532,'ONET candidates'!L533,'ONET candidates'!L534,'ONET candidates'!L535,'ONET candidates'!L536)</x:f>
        <x:v>4.983</x:v>
      </x:c>
      <x:c r="L122" s="36" t="n">
        <x:f>AVERAGE('ONET candidates'!M515,'ONET candidates'!M516,'ONET candidates'!M517,'ONET candidates'!M520,'ONET candidates'!M521,'ONET candidates'!M522,'ONET candidates'!M523,'ONET candidates'!M524,'ONET candidates'!M525,'ONET candidates'!M526,'ONET candidates'!M527,'ONET candidates'!M528,'ONET candidates'!M529,'ONET candidates'!M530,'ONET candidates'!M531,'ONET candidates'!M532,'ONET candidates'!M533,'ONET candidates'!M534,'ONET candidates'!M535,'ONET candidates'!M536)</x:f>
        <x:v>4.8085</x:v>
      </x:c>
      <x:c r="M122" s="1" t="str">
        <x:v>2.00–5.67</x:v>
      </x:c>
      <x:c r="N122" s="1" t="str">
        <x:v>1.83–5.33</x:v>
      </x:c>
      <x:c r="O122" s="1" t="str">
        <x:v>2.33–6.00</x:v>
      </x:c>
      <x:c r="P122" s="1" t="str">
        <x:v>2.67–5.67</x:v>
      </x:c>
      <x:c r="Q122" s="1" t="str">
        <x:v>2.67–6.00</x:v>
      </x:c>
      <x:c r="R122" s="1" t="str">
        <x:v>3.00–6.33</x:v>
      </x:c>
      <x:c r="S122" s="32" t="str">
        <x:v>partial</x:v>
      </x:c>
      <x:c r="T122" s="32" t="str">
        <x:v>None</x:v>
      </x:c>
    </x:row>
    <x:row r="123" ht="50.25" customHeight="1">
      <x:c r="A123" s="1" t="str">
        <x:v>782230</x:v>
      </x:c>
      <x:c r="B123" s="32" t="str">
        <x:v>Other service occupations, except health (e.g., personal care service occupations, building and grounds cleaning and maintenance occupations, etc.)</x:v>
      </x:c>
      <x:c r="C123" s="33" t="n">
        <x:v>739</x:v>
      </x:c>
      <x:c r="D123" s="57" t="str">
        <x:v>Occupation mean</x:v>
      </x:c>
      <x:c r="E123" s="63" t="str">
        <x:v>36/43</x:v>
      </x:c>
      <x:c r="F123" s="64" t="n">
        <x:v>0.8372093023255814</x:v>
      </x:c>
      <x:c r="G123" s="36" t="n">
        <x:f>AVERAGE('ONET candidates'!H539,'ONET candidates'!H540,'ONET candidates'!H541,'ONET candidates'!H542,'ONET candidates'!H544,'ONET candidates'!H545,'ONET candidates'!H546,'ONET candidates'!H547,'ONET candidates'!H549,'ONET candidates'!H551,'ONET candidates'!H552,'ONET candidates'!H553,'ONET candidates'!H554,'ONET candidates'!H555,'ONET candidates'!H557,'ONET candidates'!H558,'ONET candidates'!H559,'ONET candidates'!H560,'ONET candidates'!H561,'ONET candidates'!H563,'ONET candidates'!H565,'ONET candidates'!H566,'ONET candidates'!H567,'ONET candidates'!H568,'ONET candidates'!H569,'ONET candidates'!H570,'ONET candidates'!H571,'ONET candidates'!H572,'ONET candidates'!H573,'ONET candidates'!H574,'ONET candidates'!H575,'ONET candidates'!H576,'ONET candidates'!H577,'ONET candidates'!H578,'ONET candidates'!H579,'ONET candidates'!H580)</x:f>
        <x:v>3.0516666666666667</x:v>
      </x:c>
      <x:c r="H123" s="36" t="n">
        <x:f>AVERAGE('ONET candidates'!I539,'ONET candidates'!I540,'ONET candidates'!I541,'ONET candidates'!I542,'ONET candidates'!I544,'ONET candidates'!I545,'ONET candidates'!I546,'ONET candidates'!I547,'ONET candidates'!I549,'ONET candidates'!I551,'ONET candidates'!I552,'ONET candidates'!I553,'ONET candidates'!I554,'ONET candidates'!I555,'ONET candidates'!I557,'ONET candidates'!I558,'ONET candidates'!I559,'ONET candidates'!I560,'ONET candidates'!I561,'ONET candidates'!I563,'ONET candidates'!I565,'ONET candidates'!I566,'ONET candidates'!I567,'ONET candidates'!I568,'ONET candidates'!I569,'ONET candidates'!I570,'ONET candidates'!I571,'ONET candidates'!I572,'ONET candidates'!I573,'ONET candidates'!I574,'ONET candidates'!I575,'ONET candidates'!I576,'ONET candidates'!I577,'ONET candidates'!I578,'ONET candidates'!I579,'ONET candidates'!I580)</x:f>
        <x:v>3.0536111111111115</x:v>
      </x:c>
      <x:c r="I123" s="36" t="n">
        <x:f>AVERAGE('ONET candidates'!J539,'ONET candidates'!J540,'ONET candidates'!J541,'ONET candidates'!J542,'ONET candidates'!J544,'ONET candidates'!J545,'ONET candidates'!J546,'ONET candidates'!J547,'ONET candidates'!J549,'ONET candidates'!J551,'ONET candidates'!J552,'ONET candidates'!J553,'ONET candidates'!J554,'ONET candidates'!J555,'ONET candidates'!J557,'ONET candidates'!J558,'ONET candidates'!J559,'ONET candidates'!J560,'ONET candidates'!J561,'ONET candidates'!J563,'ONET candidates'!J565,'ONET candidates'!J566,'ONET candidates'!J567,'ONET candidates'!J568,'ONET candidates'!J569,'ONET candidates'!J570,'ONET candidates'!J571,'ONET candidates'!J572,'ONET candidates'!J573,'ONET candidates'!J574,'ONET candidates'!J575,'ONET candidates'!J576,'ONET candidates'!J577,'ONET candidates'!J578,'ONET candidates'!J579,'ONET candidates'!J580)</x:f>
        <x:v>2.5325</x:v>
      </x:c>
      <x:c r="J123" s="36" t="n">
        <x:f>AVERAGE('ONET candidates'!K539,'ONET candidates'!K540,'ONET candidates'!K541,'ONET candidates'!K542,'ONET candidates'!K544,'ONET candidates'!K545,'ONET candidates'!K546,'ONET candidates'!K547,'ONET candidates'!K549,'ONET candidates'!K551,'ONET candidates'!K552,'ONET candidates'!K553,'ONET candidates'!K554,'ONET candidates'!K555,'ONET candidates'!K557,'ONET candidates'!K558,'ONET candidates'!K559,'ONET candidates'!K560,'ONET candidates'!K561,'ONET candidates'!K563,'ONET candidates'!K565,'ONET candidates'!K566,'ONET candidates'!K567,'ONET candidates'!K568,'ONET candidates'!K569,'ONET candidates'!K570,'ONET candidates'!K571,'ONET candidates'!K572,'ONET candidates'!K573,'ONET candidates'!K574,'ONET candidates'!K575,'ONET candidates'!K576,'ONET candidates'!K577,'ONET candidates'!K578,'ONET candidates'!K579,'ONET candidates'!K580)</x:f>
        <x:v>5.0183333333333335</x:v>
      </x:c>
      <x:c r="K123" s="36" t="n">
        <x:f>AVERAGE('ONET candidates'!L539,'ONET candidates'!L540,'ONET candidates'!L541,'ONET candidates'!L542,'ONET candidates'!L544,'ONET candidates'!L545,'ONET candidates'!L546,'ONET candidates'!L547,'ONET candidates'!L549,'ONET candidates'!L551,'ONET candidates'!L552,'ONET candidates'!L553,'ONET candidates'!L554,'ONET candidates'!L555,'ONET candidates'!L557,'ONET candidates'!L558,'ONET candidates'!L559,'ONET candidates'!L560,'ONET candidates'!L561,'ONET candidates'!L563,'ONET candidates'!L565,'ONET candidates'!L566,'ONET candidates'!L567,'ONET candidates'!L568,'ONET candidates'!L569,'ONET candidates'!L570,'ONET candidates'!L571,'ONET candidates'!L572,'ONET candidates'!L573,'ONET candidates'!L574,'ONET candidates'!L575,'ONET candidates'!L576,'ONET candidates'!L577,'ONET candidates'!L578,'ONET candidates'!L579,'ONET candidates'!L580)</x:f>
        <x:v>3.7955555555555542</x:v>
      </x:c>
      <x:c r="L123" s="36" t="n">
        <x:f>AVERAGE('ONET candidates'!M539,'ONET candidates'!M540,'ONET candidates'!M541,'ONET candidates'!M542,'ONET candidates'!M544,'ONET candidates'!M545,'ONET candidates'!M546,'ONET candidates'!M547,'ONET candidates'!M549,'ONET candidates'!M551,'ONET candidates'!M552,'ONET candidates'!M553,'ONET candidates'!M554,'ONET candidates'!M555,'ONET candidates'!M557,'ONET candidates'!M558,'ONET candidates'!M559,'ONET candidates'!M560,'ONET candidates'!M561,'ONET candidates'!M563,'ONET candidates'!M565,'ONET candidates'!M566,'ONET candidates'!M567,'ONET candidates'!M568,'ONET candidates'!M569,'ONET candidates'!M570,'ONET candidates'!M571,'ONET candidates'!M572,'ONET candidates'!M573,'ONET candidates'!M574,'ONET candidates'!M575,'ONET candidates'!M576,'ONET candidates'!M577,'ONET candidates'!M578,'ONET candidates'!M579,'ONET candidates'!M580)</x:f>
        <x:v>3.85611111111111</x:v>
      </x:c>
      <x:c r="M123" s="1" t="str">
        <x:v>1.33–4.67</x:v>
      </x:c>
      <x:c r="N123" s="1" t="str">
        <x:v>1.67–4.33</x:v>
      </x:c>
      <x:c r="O123" s="1" t="str">
        <x:v>1.00–4.17</x:v>
      </x:c>
      <x:c r="P123" s="1" t="str">
        <x:v>2.33–6.67</x:v>
      </x:c>
      <x:c r="Q123" s="1" t="str">
        <x:v>2.00–5.67</x:v>
      </x:c>
      <x:c r="R123" s="1" t="str">
        <x:v>1.67–5.67</x:v>
      </x:c>
      <x:c r="S123" s="32" t="str">
        <x:v>partial</x:v>
      </x:c>
      <x:c r="T123" s="32" t="str">
        <x:v>None</x:v>
      </x:c>
    </x:row>
    <x:row r="124" ht="37.5" customHeight="1">
      <x:c r="A124" s="1" t="str">
        <x:v>783000</x:v>
      </x:c>
      <x:c r="B124" s="32" t="str">
        <x:v>Other teachers and instructors (e.g., private tutors, dance or flying instructors, martial arts instructors)</x:v>
      </x:c>
      <x:c r="C124" s="33" t="n">
        <x:v>661</x:v>
      </x:c>
      <x:c r="D124" s="57" t="str">
        <x:v>Occupation mean</x:v>
      </x:c>
      <x:c r="E124" s="63" t="str">
        <x:v>7/8</x:v>
      </x:c>
      <x:c r="F124" s="64" t="n">
        <x:v>0.875</x:v>
      </x:c>
      <x:c r="G124" s="36" t="n">
        <x:f>AVERAGE('ONET candidates'!H582,'ONET candidates'!H583,'ONET candidates'!H585,'ONET candidates'!H588,'ONET candidates'!H589,'ONET candidates'!H590,'ONET candidates'!H591)</x:f>
        <x:v>5.238571428571428</x:v>
      </x:c>
      <x:c r="H124" s="36" t="n">
        <x:f>AVERAGE('ONET candidates'!I582,'ONET candidates'!I583,'ONET candidates'!I585,'ONET candidates'!I588,'ONET candidates'!I589,'ONET candidates'!I590,'ONET candidates'!I591)</x:f>
        <x:v>4.3585714285714285</x:v>
      </x:c>
      <x:c r="I124" s="36" t="n">
        <x:f>AVERAGE('ONET candidates'!J582,'ONET candidates'!J583,'ONET candidates'!J585,'ONET candidates'!J588,'ONET candidates'!J589,'ONET candidates'!J590,'ONET candidates'!J591)</x:f>
        <x:v>4.427142857142857</x:v>
      </x:c>
      <x:c r="J124" s="36" t="n">
        <x:f>AVERAGE('ONET candidates'!K582,'ONET candidates'!K583,'ONET candidates'!K585,'ONET candidates'!K588,'ONET candidates'!K589,'ONET candidates'!K590,'ONET candidates'!K591)</x:f>
        <x:v>5.667142857142857</x:v>
      </x:c>
      <x:c r="K124" s="36" t="n">
        <x:f>AVERAGE('ONET candidates'!L582,'ONET candidates'!L583,'ONET candidates'!L585,'ONET candidates'!L588,'ONET candidates'!L589,'ONET candidates'!L590,'ONET candidates'!L591)</x:f>
        <x:v>4</x:v>
      </x:c>
      <x:c r="L124" s="36" t="n">
        <x:f>AVERAGE('ONET candidates'!M582,'ONET candidates'!M583,'ONET candidates'!M585,'ONET candidates'!M588,'ONET candidates'!M589,'ONET candidates'!M590,'ONET candidates'!M591)</x:f>
        <x:v>5.6657142857142855</x:v>
      </x:c>
      <x:c r="M124" s="1" t="str">
        <x:v>4.33–6.00</x:v>
      </x:c>
      <x:c r="N124" s="1" t="str">
        <x:v>3.67–5.83</x:v>
      </x:c>
      <x:c r="O124" s="1" t="str">
        <x:v>3.33–6.00</x:v>
      </x:c>
      <x:c r="P124" s="1" t="str">
        <x:v>4.67–6.00</x:v>
      </x:c>
      <x:c r="Q124" s="1" t="str">
        <x:v>2.33–6.67</x:v>
      </x:c>
      <x:c r="R124" s="1" t="str">
        <x:v>4.33–6.33</x:v>
      </x:c>
      <x:c r="S124" s="32" t="str">
        <x:v>partial</x:v>
      </x:c>
      <x:c r="T124" s="62" t="str">
        <x:v>Broader pilot and coaching profiles</x:v>
      </x:c>
    </x:row>
    <x:row r="125" ht="34.5" customHeight="1">
      <x:c r="A125" s="1" t="str">
        <x:v>784010</x:v>
      </x:c>
      <x:c r="B125" s="32" t="str">
        <x:v>Construction and extraction occupations</x:v>
      </x:c>
      <x:c r="C125" s="33" t="n">
        <x:v>229</x:v>
      </x:c>
      <x:c r="D125" s="57" t="str">
        <x:v>Occupation mean</x:v>
      </x:c>
      <x:c r="E125" s="63" t="str">
        <x:v>57/61</x:v>
      </x:c>
      <x:c r="F125" s="64" t="n">
        <x:v>0.9344262295081968</x:v>
      </x:c>
      <x:c r="G125" s="36" t="n">
        <x:f>AVERAGE('ONET candidates'!H592,'ONET candidates'!H593,'ONET candidates'!H594,'ONET candidates'!H595,'ONET candidates'!H596,'ONET candidates'!H597,'ONET candidates'!H598,'ONET candidates'!H599,'ONET candidates'!H600,'ONET candidates'!H601,'ONET candidates'!H602,'ONET candidates'!H603,'ONET candidates'!H604,'ONET candidates'!H605,'ONET candidates'!H606,'ONET candidates'!H607,'ONET candidates'!H608,'ONET candidates'!H609,'ONET candidates'!H610,'ONET candidates'!H611,'ONET candidates'!H612,'ONET candidates'!H613,'ONET candidates'!H614,'ONET candidates'!H615,'ONET candidates'!H616,'ONET candidates'!H617,'ONET candidates'!H618,'ONET candidates'!H619,'ONET candidates'!H620,'ONET candidates'!H621,'ONET candidates'!H622,'ONET candidates'!H623,'ONET candidates'!H624,'ONET candidates'!H625,'ONET candidates'!H626,'ONET candidates'!H627,'ONET candidates'!H628,'ONET candidates'!H630,'ONET candidates'!H631,'ONET candidates'!H632,'ONET candidates'!H633,'ONET candidates'!H634,'ONET candidates'!H635,'ONET candidates'!H636,'ONET candidates'!H637,'ONET candidates'!H639,'ONET candidates'!H640,'ONET candidates'!H641,'ONET candidates'!H642,'ONET candidates'!H643,'ONET candidates'!H644,'ONET candidates'!H645,'ONET candidates'!H646,'ONET candidates'!H647,'ONET candidates'!H649,'ONET candidates'!H650,'ONET candidates'!H651)</x:f>
        <x:v>2.6696491228070167</x:v>
      </x:c>
      <x:c r="H125" s="36" t="n">
        <x:f>AVERAGE('ONET candidates'!I592,'ONET candidates'!I593,'ONET candidates'!I594,'ONET candidates'!I595,'ONET candidates'!I596,'ONET candidates'!I597,'ONET candidates'!I598,'ONET candidates'!I599,'ONET candidates'!I600,'ONET candidates'!I601,'ONET candidates'!I602,'ONET candidates'!I603,'ONET candidates'!I604,'ONET candidates'!I605,'ONET candidates'!I606,'ONET candidates'!I607,'ONET candidates'!I608,'ONET candidates'!I609,'ONET candidates'!I610,'ONET candidates'!I611,'ONET candidates'!I612,'ONET candidates'!I613,'ONET candidates'!I614,'ONET candidates'!I615,'ONET candidates'!I616,'ONET candidates'!I617,'ONET candidates'!I618,'ONET candidates'!I619,'ONET candidates'!I620,'ONET candidates'!I621,'ONET candidates'!I622,'ONET candidates'!I623,'ONET candidates'!I624,'ONET candidates'!I625,'ONET candidates'!I626,'ONET candidates'!I627,'ONET candidates'!I628,'ONET candidates'!I630,'ONET candidates'!I631,'ONET candidates'!I632,'ONET candidates'!I633,'ONET candidates'!I634,'ONET candidates'!I635,'ONET candidates'!I636,'ONET candidates'!I637,'ONET candidates'!I639,'ONET candidates'!I640,'ONET candidates'!I641,'ONET candidates'!I642,'ONET candidates'!I643,'ONET candidates'!I644,'ONET candidates'!I645,'ONET candidates'!I646,'ONET candidates'!I647,'ONET candidates'!I649,'ONET candidates'!I650,'ONET candidates'!I651)</x:f>
        <x:v>3.2057894736842103</x:v>
      </x:c>
      <x:c r="I125" s="36" t="n">
        <x:f>AVERAGE('ONET candidates'!J592,'ONET candidates'!J593,'ONET candidates'!J594,'ONET candidates'!J595,'ONET candidates'!J596,'ONET candidates'!J597,'ONET candidates'!J598,'ONET candidates'!J599,'ONET candidates'!J600,'ONET candidates'!J601,'ONET candidates'!J602,'ONET candidates'!J603,'ONET candidates'!J604,'ONET candidates'!J605,'ONET candidates'!J606,'ONET candidates'!J607,'ONET candidates'!J608,'ONET candidates'!J609,'ONET candidates'!J610,'ONET candidates'!J611,'ONET candidates'!J612,'ONET candidates'!J613,'ONET candidates'!J614,'ONET candidates'!J615,'ONET candidates'!J616,'ONET candidates'!J617,'ONET candidates'!J618,'ONET candidates'!J619,'ONET candidates'!J620,'ONET candidates'!J621,'ONET candidates'!J622,'ONET candidates'!J623,'ONET candidates'!J624,'ONET candidates'!J625,'ONET candidates'!J626,'ONET candidates'!J627,'ONET candidates'!J628,'ONET candidates'!J630,'ONET candidates'!J631,'ONET candidates'!J632,'ONET candidates'!J633,'ONET candidates'!J634,'ONET candidates'!J635,'ONET candidates'!J636,'ONET candidates'!J637,'ONET candidates'!J639,'ONET candidates'!J640,'ONET candidates'!J641,'ONET candidates'!J642,'ONET candidates'!J643,'ONET candidates'!J644,'ONET candidates'!J645,'ONET candidates'!J646,'ONET candidates'!J647,'ONET candidates'!J649,'ONET candidates'!J650,'ONET candidates'!J651)</x:f>
        <x:v>2.3415789473684203</x:v>
      </x:c>
      <x:c r="J125" s="36" t="n">
        <x:f>AVERAGE('ONET candidates'!K592,'ONET candidates'!K593,'ONET candidates'!K594,'ONET candidates'!K595,'ONET candidates'!K596,'ONET candidates'!K597,'ONET candidates'!K598,'ONET candidates'!K599,'ONET candidates'!K600,'ONET candidates'!K601,'ONET candidates'!K602,'ONET candidates'!K603,'ONET candidates'!K604,'ONET candidates'!K605,'ONET candidates'!K606,'ONET candidates'!K607,'ONET candidates'!K608,'ONET candidates'!K609,'ONET candidates'!K610,'ONET candidates'!K611,'ONET candidates'!K612,'ONET candidates'!K613,'ONET candidates'!K614,'ONET candidates'!K615,'ONET candidates'!K616,'ONET candidates'!K617,'ONET candidates'!K618,'ONET candidates'!K619,'ONET candidates'!K620,'ONET candidates'!K621,'ONET candidates'!K622,'ONET candidates'!K623,'ONET candidates'!K624,'ONET candidates'!K625,'ONET candidates'!K626,'ONET candidates'!K627,'ONET candidates'!K628,'ONET candidates'!K630,'ONET candidates'!K631,'ONET candidates'!K632,'ONET candidates'!K633,'ONET candidates'!K634,'ONET candidates'!K635,'ONET candidates'!K636,'ONET candidates'!K637,'ONET candidates'!K639,'ONET candidates'!K640,'ONET candidates'!K641,'ONET candidates'!K642,'ONET candidates'!K643,'ONET candidates'!K644,'ONET candidates'!K645,'ONET candidates'!K646,'ONET candidates'!K647,'ONET candidates'!K649,'ONET candidates'!K650,'ONET candidates'!K651)</x:f>
        <x:v>3.7719298245614037</x:v>
      </x:c>
      <x:c r="K125" s="36" t="n">
        <x:f>AVERAGE('ONET candidates'!L592,'ONET candidates'!L593,'ONET candidates'!L594,'ONET candidates'!L595,'ONET candidates'!L596,'ONET candidates'!L597,'ONET candidates'!L598,'ONET candidates'!L599,'ONET candidates'!L600,'ONET candidates'!L601,'ONET candidates'!L602,'ONET candidates'!L603,'ONET candidates'!L604,'ONET candidates'!L605,'ONET candidates'!L606,'ONET candidates'!L607,'ONET candidates'!L608,'ONET candidates'!L609,'ONET candidates'!L610,'ONET candidates'!L611,'ONET candidates'!L612,'ONET candidates'!L613,'ONET candidates'!L614,'ONET candidates'!L615,'ONET candidates'!L616,'ONET candidates'!L617,'ONET candidates'!L618,'ONET candidates'!L619,'ONET candidates'!L620,'ONET candidates'!L621,'ONET candidates'!L622,'ONET candidates'!L623,'ONET candidates'!L624,'ONET candidates'!L625,'ONET candidates'!L626,'ONET candidates'!L627,'ONET candidates'!L628,'ONET candidates'!L630,'ONET candidates'!L631,'ONET candidates'!L632,'ONET candidates'!L633,'ONET candidates'!L634,'ONET candidates'!L635,'ONET candidates'!L636,'ONET candidates'!L637,'ONET candidates'!L639,'ONET candidates'!L640,'ONET candidates'!L641,'ONET candidates'!L642,'ONET candidates'!L643,'ONET candidates'!L644,'ONET candidates'!L645,'ONET candidates'!L646,'ONET candidates'!L647,'ONET candidates'!L649,'ONET candidates'!L650,'ONET candidates'!L651)</x:f>
        <x:v>4.7015789473684215</x:v>
      </x:c>
      <x:c r="L125" s="36" t="n">
        <x:f>AVERAGE('ONET candidates'!M592,'ONET candidates'!M593,'ONET candidates'!M594,'ONET candidates'!M595,'ONET candidates'!M596,'ONET candidates'!M597,'ONET candidates'!M598,'ONET candidates'!M599,'ONET candidates'!M600,'ONET candidates'!M601,'ONET candidates'!M602,'ONET candidates'!M603,'ONET candidates'!M604,'ONET candidates'!M605,'ONET candidates'!M606,'ONET candidates'!M607,'ONET candidates'!M608,'ONET candidates'!M609,'ONET candidates'!M610,'ONET candidates'!M611,'ONET candidates'!M612,'ONET candidates'!M613,'ONET candidates'!M614,'ONET candidates'!M615,'ONET candidates'!M616,'ONET candidates'!M617,'ONET candidates'!M618,'ONET candidates'!M619,'ONET candidates'!M620,'ONET candidates'!M621,'ONET candidates'!M622,'ONET candidates'!M623,'ONET candidates'!M624,'ONET candidates'!M625,'ONET candidates'!M626,'ONET candidates'!M627,'ONET candidates'!M628,'ONET candidates'!M630,'ONET candidates'!M631,'ONET candidates'!M632,'ONET candidates'!M633,'ONET candidates'!M634,'ONET candidates'!M635,'ONET candidates'!M636,'ONET candidates'!M637,'ONET candidates'!M639,'ONET candidates'!M640,'ONET candidates'!M641,'ONET candidates'!M642,'ONET candidates'!M643,'ONET candidates'!M644,'ONET candidates'!M645,'ONET candidates'!M646,'ONET candidates'!M647,'ONET candidates'!M649,'ONET candidates'!M650,'ONET candidates'!M651)</x:f>
        <x:v>3.3801754385964906</x:v>
      </x:c>
      <x:c r="M125" s="1" t="str">
        <x:v>1.67–5.00</x:v>
      </x:c>
      <x:c r="N125" s="1" t="str">
        <x:v>2.17–4.83</x:v>
      </x:c>
      <x:c r="O125" s="1" t="str">
        <x:v>1.00–4.33</x:v>
      </x:c>
      <x:c r="P125" s="1" t="str">
        <x:v>2.33–5.33</x:v>
      </x:c>
      <x:c r="Q125" s="1" t="str">
        <x:v>3.00–6.67</x:v>
      </x:c>
      <x:c r="R125" s="1" t="str">
        <x:v>2.00–5.67</x:v>
      </x:c>
      <x:c r="S125" s="32" t="str">
        <x:v>partial</x:v>
      </x:c>
      <x:c r="T125" s="32" t="str">
        <x:v>None</x:v>
      </x:c>
    </x:row>
    <x:row r="126" ht="34.5" customHeight="1">
      <x:c r="A126" s="1" t="str">
        <x:v>784020</x:v>
      </x:c>
      <x:c r="B126" s="32" t="str">
        <x:v>Installation, maintenance, and repair occupations</x:v>
      </x:c>
      <x:c r="C126" s="33" t="n">
        <x:v>206</x:v>
      </x:c>
      <x:c r="D126" s="57" t="str">
        <x:v>Occupation mean</x:v>
      </x:c>
      <x:c r="E126" s="63" t="str">
        <x:v>49/51</x:v>
      </x:c>
      <x:c r="F126" s="64" t="n">
        <x:v>0.9607843137254902</x:v>
      </x:c>
      <x:c r="G126" s="36" t="n">
        <x:f>AVERAGE('ONET candidates'!H653,'ONET candidates'!H654,'ONET candidates'!H655,'ONET candidates'!H656,'ONET candidates'!H657,'ONET candidates'!H658,'ONET candidates'!H659,'ONET candidates'!H660,'ONET candidates'!H661,'ONET candidates'!H662,'ONET candidates'!H663,'ONET candidates'!H664,'ONET candidates'!H665,'ONET candidates'!H666,'ONET candidates'!H667,'ONET candidates'!H668,'ONET candidates'!H669,'ONET candidates'!H670,'ONET candidates'!H671,'ONET candidates'!H672,'ONET candidates'!H673,'ONET candidates'!H674,'ONET candidates'!H675,'ONET candidates'!H676,'ONET candidates'!H677,'ONET candidates'!H678,'ONET candidates'!H679,'ONET candidates'!H680,'ONET candidates'!H681,'ONET candidates'!H682,'ONET candidates'!H683,'ONET candidates'!H684,'ONET candidates'!H685,'ONET candidates'!H686,'ONET candidates'!H687,'ONET candidates'!H688,'ONET candidates'!H689,'ONET candidates'!H690,'ONET candidates'!H691,'ONET candidates'!H692,'ONET candidates'!H694,'ONET candidates'!H695,'ONET candidates'!H696,'ONET candidates'!H697,'ONET candidates'!H698,'ONET candidates'!H699,'ONET candidates'!H700,'ONET candidates'!H701,'ONET candidates'!H702)</x:f>
        <x:v>3.322448979591837</x:v>
      </x:c>
      <x:c r="H126" s="36" t="n">
        <x:f>AVERAGE('ONET candidates'!I653,'ONET candidates'!I654,'ONET candidates'!I655,'ONET candidates'!I656,'ONET candidates'!I657,'ONET candidates'!I658,'ONET candidates'!I659,'ONET candidates'!I660,'ONET candidates'!I661,'ONET candidates'!I662,'ONET candidates'!I663,'ONET candidates'!I664,'ONET candidates'!I665,'ONET candidates'!I666,'ONET candidates'!I667,'ONET candidates'!I668,'ONET candidates'!I669,'ONET candidates'!I670,'ONET candidates'!I671,'ONET candidates'!I672,'ONET candidates'!I673,'ONET candidates'!I674,'ONET candidates'!I675,'ONET candidates'!I676,'ONET candidates'!I677,'ONET candidates'!I678,'ONET candidates'!I679,'ONET candidates'!I680,'ONET candidates'!I681,'ONET candidates'!I682,'ONET candidates'!I683,'ONET candidates'!I684,'ONET candidates'!I685,'ONET candidates'!I686,'ONET candidates'!I687,'ONET candidates'!I688,'ONET candidates'!I689,'ONET candidates'!I690,'ONET candidates'!I691,'ONET candidates'!I692,'ONET candidates'!I694,'ONET candidates'!I695,'ONET candidates'!I696,'ONET candidates'!I697,'ONET candidates'!I698,'ONET candidates'!I699,'ONET candidates'!I700,'ONET candidates'!I701,'ONET candidates'!I702)</x:f>
        <x:v>3.665102040816326</x:v>
      </x:c>
      <x:c r="I126" s="36" t="n">
        <x:f>AVERAGE('ONET candidates'!J653,'ONET candidates'!J654,'ONET candidates'!J655,'ONET candidates'!J656,'ONET candidates'!J657,'ONET candidates'!J658,'ONET candidates'!J659,'ONET candidates'!J660,'ONET candidates'!J661,'ONET candidates'!J662,'ONET candidates'!J663,'ONET candidates'!J664,'ONET candidates'!J665,'ONET candidates'!J666,'ONET candidates'!J667,'ONET candidates'!J668,'ONET candidates'!J669,'ONET candidates'!J670,'ONET candidates'!J671,'ONET candidates'!J672,'ONET candidates'!J673,'ONET candidates'!J674,'ONET candidates'!J675,'ONET candidates'!J676,'ONET candidates'!J677,'ONET candidates'!J678,'ONET candidates'!J679,'ONET candidates'!J680,'ONET candidates'!J681,'ONET candidates'!J682,'ONET candidates'!J683,'ONET candidates'!J684,'ONET candidates'!J685,'ONET candidates'!J686,'ONET candidates'!J687,'ONET candidates'!J688,'ONET candidates'!J689,'ONET candidates'!J690,'ONET candidates'!J691,'ONET candidates'!J692,'ONET candidates'!J694,'ONET candidates'!J695,'ONET candidates'!J696,'ONET candidates'!J697,'ONET candidates'!J698,'ONET candidates'!J699,'ONET candidates'!J700,'ONET candidates'!J701,'ONET candidates'!J702)</x:f>
        <x:v>2.7142857142857144</x:v>
      </x:c>
      <x:c r="J126" s="36" t="n">
        <x:f>AVERAGE('ONET candidates'!K653,'ONET candidates'!K654,'ONET candidates'!K655,'ONET candidates'!K656,'ONET candidates'!K657,'ONET candidates'!K658,'ONET candidates'!K659,'ONET candidates'!K660,'ONET candidates'!K661,'ONET candidates'!K662,'ONET candidates'!K663,'ONET candidates'!K664,'ONET candidates'!K665,'ONET candidates'!K666,'ONET candidates'!K667,'ONET candidates'!K668,'ONET candidates'!K669,'ONET candidates'!K670,'ONET candidates'!K671,'ONET candidates'!K672,'ONET candidates'!K673,'ONET candidates'!K674,'ONET candidates'!K675,'ONET candidates'!K676,'ONET candidates'!K677,'ONET candidates'!K678,'ONET candidates'!K679,'ONET candidates'!K680,'ONET candidates'!K681,'ONET candidates'!K682,'ONET candidates'!K683,'ONET candidates'!K684,'ONET candidates'!K685,'ONET candidates'!K686,'ONET candidates'!K687,'ONET candidates'!K688,'ONET candidates'!K689,'ONET candidates'!K690,'ONET candidates'!K691,'ONET candidates'!K692,'ONET candidates'!K694,'ONET candidates'!K695,'ONET candidates'!K696,'ONET candidates'!K697,'ONET candidates'!K698,'ONET candidates'!K699,'ONET candidates'!K700,'ONET candidates'!K701,'ONET candidates'!K702)</x:f>
        <x:v>3.7510204081632654</x:v>
      </x:c>
      <x:c r="K126" s="36" t="n">
        <x:f>AVERAGE('ONET candidates'!L653,'ONET candidates'!L654,'ONET candidates'!L655,'ONET candidates'!L656,'ONET candidates'!L657,'ONET candidates'!L658,'ONET candidates'!L659,'ONET candidates'!L660,'ONET candidates'!L661,'ONET candidates'!L662,'ONET candidates'!L663,'ONET candidates'!L664,'ONET candidates'!L665,'ONET candidates'!L666,'ONET candidates'!L667,'ONET candidates'!L668,'ONET candidates'!L669,'ONET candidates'!L670,'ONET candidates'!L671,'ONET candidates'!L672,'ONET candidates'!L673,'ONET candidates'!L674,'ONET candidates'!L675,'ONET candidates'!L676,'ONET candidates'!L677,'ONET candidates'!L678,'ONET candidates'!L679,'ONET candidates'!L680,'ONET candidates'!L681,'ONET candidates'!L682,'ONET candidates'!L683,'ONET candidates'!L684,'ONET candidates'!L685,'ONET candidates'!L686,'ONET candidates'!L687,'ONET candidates'!L688,'ONET candidates'!L689,'ONET candidates'!L690,'ONET candidates'!L691,'ONET candidates'!L692,'ONET candidates'!L694,'ONET candidates'!L695,'ONET candidates'!L696,'ONET candidates'!L697,'ONET candidates'!L698,'ONET candidates'!L699,'ONET candidates'!L700,'ONET candidates'!L701,'ONET candidates'!L702)</x:f>
        <x:v>4.75795918367347</x:v>
      </x:c>
      <x:c r="L126" s="36" t="n">
        <x:f>AVERAGE('ONET candidates'!M653,'ONET candidates'!M654,'ONET candidates'!M655,'ONET candidates'!M656,'ONET candidates'!M657,'ONET candidates'!M658,'ONET candidates'!M659,'ONET candidates'!M660,'ONET candidates'!M661,'ONET candidates'!M662,'ONET candidates'!M663,'ONET candidates'!M664,'ONET candidates'!M665,'ONET candidates'!M666,'ONET candidates'!M667,'ONET candidates'!M668,'ONET candidates'!M669,'ONET candidates'!M670,'ONET candidates'!M671,'ONET candidates'!M672,'ONET candidates'!M673,'ONET candidates'!M674,'ONET candidates'!M675,'ONET candidates'!M676,'ONET candidates'!M677,'ONET candidates'!M678,'ONET candidates'!M679,'ONET candidates'!M680,'ONET candidates'!M681,'ONET candidates'!M682,'ONET candidates'!M683,'ONET candidates'!M684,'ONET candidates'!M685,'ONET candidates'!M686,'ONET candidates'!M687,'ONET candidates'!M688,'ONET candidates'!M689,'ONET candidates'!M690,'ONET candidates'!M691,'ONET candidates'!M692,'ONET candidates'!M694,'ONET candidates'!M695,'ONET candidates'!M696,'ONET candidates'!M697,'ONET candidates'!M698,'ONET candidates'!M699,'ONET candidates'!M700,'ONET candidates'!M701,'ONET candidates'!M702)</x:f>
        <x:v>4.204285714285714</x:v>
      </x:c>
      <x:c r="M126" s="1" t="str">
        <x:v>2.00–4.67</x:v>
      </x:c>
      <x:c r="N126" s="1" t="str">
        <x:v>2.00–5.00</x:v>
      </x:c>
      <x:c r="O126" s="1" t="str">
        <x:v>2.00–4.00</x:v>
      </x:c>
      <x:c r="P126" s="1" t="str">
        <x:v>2.00–5.33</x:v>
      </x:c>
      <x:c r="Q126" s="1" t="str">
        <x:v>2.67–6.33</x:v>
      </x:c>
      <x:c r="R126" s="1" t="str">
        <x:v>2.67–5.67</x:v>
      </x:c>
      <x:c r="S126" s="32" t="str">
        <x:v>partial</x:v>
      </x:c>
      <x:c r="T126" s="32" t="str">
        <x:v>None</x:v>
      </x:c>
    </x:row>
    <x:row r="127" ht="37.5" customHeight="1">
      <x:c r="A127" s="1" t="str">
        <x:v>784030</x:v>
      </x:c>
      <x:c r="B127" s="32" t="str">
        <x:v>Production occupations (e.g., assemblers, bakers, metal workers, tailors, woodworkers)</x:v>
      </x:c>
      <x:c r="C127" s="33" t="n">
        <x:v>383</x:v>
      </x:c>
      <x:c r="D127" s="57" t="str">
        <x:v>Occupation mean</x:v>
      </x:c>
      <x:c r="E127" s="63" t="str">
        <x:v>100/107</x:v>
      </x:c>
      <x:c r="F127" s="64" t="n">
        <x:v>0.9345794392523364</x:v>
      </x:c>
      <x:c r="G127" s="36" t="n">
        <x:f>AVERAGE('ONET candidates'!H704,'ONET candidates'!H705,'ONET candidates'!H706,'ONET candidates'!H707,'ONET candidates'!H708,'ONET candidates'!H709,'ONET candidates'!H710,'ONET candidates'!H711,'ONET candidates'!H712,'ONET candidates'!H713,'ONET candidates'!H715,'ONET candidates'!H716,'ONET candidates'!H717,'ONET candidates'!H718,'ONET candidates'!H719,'ONET candidates'!H720,'ONET candidates'!H721,'ONET candidates'!H723,'ONET candidates'!H724,'ONET candidates'!H725,'ONET candidates'!H726,'ONET candidates'!H727,'ONET candidates'!H728,'ONET candidates'!H729,'ONET candidates'!H730,'ONET candidates'!H731,'ONET candidates'!H732,'ONET candidates'!H733,'ONET candidates'!H734,'ONET candidates'!H735,'ONET candidates'!H736,'ONET candidates'!H737,'ONET candidates'!H738,'ONET candidates'!H739,'ONET candidates'!H740,'ONET candidates'!H741,'ONET candidates'!H742,'ONET candidates'!H743,'ONET candidates'!H744,'ONET candidates'!H745,'ONET candidates'!H747,'ONET candidates'!H748,'ONET candidates'!H749,'ONET candidates'!H750,'ONET candidates'!H751,'ONET candidates'!H752,'ONET candidates'!H753,'ONET candidates'!H754,'ONET candidates'!H755,'ONET candidates'!H756,'ONET candidates'!H757,'ONET candidates'!H758,'ONET candidates'!H759,'ONET candidates'!H760,'ONET candidates'!H761,'ONET candidates'!H762,'ONET candidates'!H763,'ONET candidates'!H765,'ONET candidates'!H766,'ONET candidates'!H767,'ONET candidates'!H768,'ONET candidates'!H769,'ONET candidates'!H770,'ONET candidates'!H772,'ONET candidates'!H773,'ONET candidates'!H774,'ONET candidates'!H775,'ONET candidates'!H776,'ONET candidates'!H777,'ONET candidates'!H778,'ONET candidates'!H779,'ONET candidates'!H781,'ONET candidates'!H782,'ONET candidates'!H783,'ONET candidates'!H784,'ONET candidates'!H785,'ONET candidates'!H786,'ONET candidates'!H787,'ONET candidates'!H788,'ONET candidates'!H789,'ONET candidates'!H790,'ONET candidates'!H791,'ONET candidates'!H792,'ONET candidates'!H793,'ONET candidates'!H794,'ONET candidates'!H795,'ONET candidates'!H796,'ONET candidates'!H797,'ONET candidates'!H798,'ONET candidates'!H799,'ONET candidates'!H800,'ONET candidates'!H801,'ONET candidates'!H802,'ONET candidates'!H803,'ONET candidates'!H804,'ONET candidates'!H805,'ONET candidates'!H806,'ONET candidates'!H807,'ONET candidates'!H808,'ONET candidates'!H809)</x:f>
        <x:v>2.6379000000000006</x:v>
      </x:c>
      <x:c r="H127" s="36" t="n">
        <x:f>AVERAGE('ONET candidates'!I704,'ONET candidates'!I705,'ONET candidates'!I706,'ONET candidates'!I707,'ONET candidates'!I708,'ONET candidates'!I709,'ONET candidates'!I710,'ONET candidates'!I711,'ONET candidates'!I712,'ONET candidates'!I713,'ONET candidates'!I715,'ONET candidates'!I716,'ONET candidates'!I717,'ONET candidates'!I718,'ONET candidates'!I719,'ONET candidates'!I720,'ONET candidates'!I721,'ONET candidates'!I723,'ONET candidates'!I724,'ONET candidates'!I725,'ONET candidates'!I726,'ONET candidates'!I727,'ONET candidates'!I728,'ONET candidates'!I729,'ONET candidates'!I730,'ONET candidates'!I731,'ONET candidates'!I732,'ONET candidates'!I733,'ONET candidates'!I734,'ONET candidates'!I735,'ONET candidates'!I736,'ONET candidates'!I737,'ONET candidates'!I738,'ONET candidates'!I739,'ONET candidates'!I740,'ONET candidates'!I741,'ONET candidates'!I742,'ONET candidates'!I743,'ONET candidates'!I744,'ONET candidates'!I745,'ONET candidates'!I747,'ONET candidates'!I748,'ONET candidates'!I749,'ONET candidates'!I750,'ONET candidates'!I751,'ONET candidates'!I752,'ONET candidates'!I753,'ONET candidates'!I754,'ONET candidates'!I755,'ONET candidates'!I756,'ONET candidates'!I757,'ONET candidates'!I758,'ONET candidates'!I759,'ONET candidates'!I760,'ONET candidates'!I761,'ONET candidates'!I762,'ONET candidates'!I763,'ONET candidates'!I765,'ONET candidates'!I766,'ONET candidates'!I767,'ONET candidates'!I768,'ONET candidates'!I769,'ONET candidates'!I770,'ONET candidates'!I772,'ONET candidates'!I773,'ONET candidates'!I774,'ONET candidates'!I775,'ONET candidates'!I776,'ONET candidates'!I777,'ONET candidates'!I778,'ONET candidates'!I779,'ONET candidates'!I781,'ONET candidates'!I782,'ONET candidates'!I783,'ONET candidates'!I784,'ONET candidates'!I785,'ONET candidates'!I786,'ONET candidates'!I787,'ONET candidates'!I788,'ONET candidates'!I789,'ONET candidates'!I790,'ONET candidates'!I791,'ONET candidates'!I792,'ONET candidates'!I793,'ONET candidates'!I794,'ONET candidates'!I795,'ONET candidates'!I796,'ONET candidates'!I797,'ONET candidates'!I798,'ONET candidates'!I799,'ONET candidates'!I800,'ONET candidates'!I801,'ONET candidates'!I802,'ONET candidates'!I803,'ONET candidates'!I804,'ONET candidates'!I805,'ONET candidates'!I806,'ONET candidates'!I807,'ONET candidates'!I808,'ONET candidates'!I809)</x:f>
        <x:v>2.9099999999999993</x:v>
      </x:c>
      <x:c r="I127" s="36" t="n">
        <x:f>AVERAGE('ONET candidates'!J704,'ONET candidates'!J705,'ONET candidates'!J706,'ONET candidates'!J707,'ONET candidates'!J708,'ONET candidates'!J709,'ONET candidates'!J710,'ONET candidates'!J711,'ONET candidates'!J712,'ONET candidates'!J713,'ONET candidates'!J715,'ONET candidates'!J716,'ONET candidates'!J717,'ONET candidates'!J718,'ONET candidates'!J719,'ONET candidates'!J720,'ONET candidates'!J721,'ONET candidates'!J723,'ONET candidates'!J724,'ONET candidates'!J725,'ONET candidates'!J726,'ONET candidates'!J727,'ONET candidates'!J728,'ONET candidates'!J729,'ONET candidates'!J730,'ONET candidates'!J731,'ONET candidates'!J732,'ONET candidates'!J733,'ONET candidates'!J734,'ONET candidates'!J735,'ONET candidates'!J736,'ONET candidates'!J737,'ONET candidates'!J738,'ONET candidates'!J739,'ONET candidates'!J740,'ONET candidates'!J741,'ONET candidates'!J742,'ONET candidates'!J743,'ONET candidates'!J744,'ONET candidates'!J745,'ONET candidates'!J747,'ONET candidates'!J748,'ONET candidates'!J749,'ONET candidates'!J750,'ONET candidates'!J751,'ONET candidates'!J752,'ONET candidates'!J753,'ONET candidates'!J754,'ONET candidates'!J755,'ONET candidates'!J756,'ONET candidates'!J757,'ONET candidates'!J758,'ONET candidates'!J759,'ONET candidates'!J760,'ONET candidates'!J761,'ONET candidates'!J762,'ONET candidates'!J763,'ONET candidates'!J765,'ONET candidates'!J766,'ONET candidates'!J767,'ONET candidates'!J768,'ONET candidates'!J769,'ONET candidates'!J770,'ONET candidates'!J772,'ONET candidates'!J773,'ONET candidates'!J774,'ONET candidates'!J775,'ONET candidates'!J776,'ONET candidates'!J777,'ONET candidates'!J778,'ONET candidates'!J779,'ONET candidates'!J781,'ONET candidates'!J782,'ONET candidates'!J783,'ONET candidates'!J784,'ONET candidates'!J785,'ONET candidates'!J786,'ONET candidates'!J787,'ONET candidates'!J788,'ONET candidates'!J789,'ONET candidates'!J790,'ONET candidates'!J791,'ONET candidates'!J792,'ONET candidates'!J793,'ONET candidates'!J794,'ONET candidates'!J795,'ONET candidates'!J796,'ONET candidates'!J797,'ONET candidates'!J798,'ONET candidates'!J799,'ONET candidates'!J800,'ONET candidates'!J801,'ONET candidates'!J802,'ONET candidates'!J803,'ONET candidates'!J804,'ONET candidates'!J805,'ONET candidates'!J806,'ONET candidates'!J807,'ONET candidates'!J808,'ONET candidates'!J809)</x:f>
        <x:v>2.3099999999999996</x:v>
      </x:c>
      <x:c r="J127" s="36" t="n">
        <x:f>AVERAGE('ONET candidates'!K704,'ONET candidates'!K705,'ONET candidates'!K706,'ONET candidates'!K707,'ONET candidates'!K708,'ONET candidates'!K709,'ONET candidates'!K710,'ONET candidates'!K711,'ONET candidates'!K712,'ONET candidates'!K713,'ONET candidates'!K715,'ONET candidates'!K716,'ONET candidates'!K717,'ONET candidates'!K718,'ONET candidates'!K719,'ONET candidates'!K720,'ONET candidates'!K721,'ONET candidates'!K723,'ONET candidates'!K724,'ONET candidates'!K725,'ONET candidates'!K726,'ONET candidates'!K727,'ONET candidates'!K728,'ONET candidates'!K729,'ONET candidates'!K730,'ONET candidates'!K731,'ONET candidates'!K732,'ONET candidates'!K733,'ONET candidates'!K734,'ONET candidates'!K735,'ONET candidates'!K736,'ONET candidates'!K737,'ONET candidates'!K738,'ONET candidates'!K739,'ONET candidates'!K740,'ONET candidates'!K741,'ONET candidates'!K742,'ONET candidates'!K743,'ONET candidates'!K744,'ONET candidates'!K745,'ONET candidates'!K747,'ONET candidates'!K748,'ONET candidates'!K749,'ONET candidates'!K750,'ONET candidates'!K751,'ONET candidates'!K752,'ONET candidates'!K753,'ONET candidates'!K754,'ONET candidates'!K755,'ONET candidates'!K756,'ONET candidates'!K757,'ONET candidates'!K758,'ONET candidates'!K759,'ONET candidates'!K760,'ONET candidates'!K761,'ONET candidates'!K762,'ONET candidates'!K763,'ONET candidates'!K765,'ONET candidates'!K766,'ONET candidates'!K767,'ONET candidates'!K768,'ONET candidates'!K769,'ONET candidates'!K770,'ONET candidates'!K772,'ONET candidates'!K773,'ONET candidates'!K774,'ONET candidates'!K775,'ONET candidates'!K776,'ONET candidates'!K777,'ONET candidates'!K778,'ONET candidates'!K779,'ONET candidates'!K781,'ONET candidates'!K782,'ONET candidates'!K783,'ONET candidates'!K784,'ONET candidates'!K785,'ONET candidates'!K786,'ONET candidates'!K787,'ONET candidates'!K788,'ONET candidates'!K789,'ONET candidates'!K790,'ONET candidates'!K791,'ONET candidates'!K792,'ONET candidates'!K793,'ONET candidates'!K794,'ONET candidates'!K795,'ONET candidates'!K796,'ONET candidates'!K797,'ONET candidates'!K798,'ONET candidates'!K799,'ONET candidates'!K800,'ONET candidates'!K801,'ONET candidates'!K802,'ONET candidates'!K803,'ONET candidates'!K804,'ONET candidates'!K805,'ONET candidates'!K806,'ONET candidates'!K807,'ONET candidates'!K808,'ONET candidates'!K809)</x:f>
        <x:v>3.5482</x:v>
      </x:c>
      <x:c r="K127" s="36" t="n">
        <x:f>AVERAGE('ONET candidates'!L704,'ONET candidates'!L705,'ONET candidates'!L706,'ONET candidates'!L707,'ONET candidates'!L708,'ONET candidates'!L709,'ONET candidates'!L710,'ONET candidates'!L711,'ONET candidates'!L712,'ONET candidates'!L713,'ONET candidates'!L715,'ONET candidates'!L716,'ONET candidates'!L717,'ONET candidates'!L718,'ONET candidates'!L719,'ONET candidates'!L720,'ONET candidates'!L721,'ONET candidates'!L723,'ONET candidates'!L724,'ONET candidates'!L725,'ONET candidates'!L726,'ONET candidates'!L727,'ONET candidates'!L728,'ONET candidates'!L729,'ONET candidates'!L730,'ONET candidates'!L731,'ONET candidates'!L732,'ONET candidates'!L733,'ONET candidates'!L734,'ONET candidates'!L735,'ONET candidates'!L736,'ONET candidates'!L737,'ONET candidates'!L738,'ONET candidates'!L739,'ONET candidates'!L740,'ONET candidates'!L741,'ONET candidates'!L742,'ONET candidates'!L743,'ONET candidates'!L744,'ONET candidates'!L745,'ONET candidates'!L747,'ONET candidates'!L748,'ONET candidates'!L749,'ONET candidates'!L750,'ONET candidates'!L751,'ONET candidates'!L752,'ONET candidates'!L753,'ONET candidates'!L754,'ONET candidates'!L755,'ONET candidates'!L756,'ONET candidates'!L757,'ONET candidates'!L758,'ONET candidates'!L759,'ONET candidates'!L760,'ONET candidates'!L761,'ONET candidates'!L762,'ONET candidates'!L763,'ONET candidates'!L765,'ONET candidates'!L766,'ONET candidates'!L767,'ONET candidates'!L768,'ONET candidates'!L769,'ONET candidates'!L770,'ONET candidates'!L772,'ONET candidates'!L773,'ONET candidates'!L774,'ONET candidates'!L775,'ONET candidates'!L776,'ONET candidates'!L777,'ONET candidates'!L778,'ONET candidates'!L779,'ONET candidates'!L781,'ONET candidates'!L782,'ONET candidates'!L783,'ONET candidates'!L784,'ONET candidates'!L785,'ONET candidates'!L786,'ONET candidates'!L787,'ONET candidates'!L788,'ONET candidates'!L789,'ONET candidates'!L790,'ONET candidates'!L791,'ONET candidates'!L792,'ONET candidates'!L793,'ONET candidates'!L794,'ONET candidates'!L795,'ONET candidates'!L796,'ONET candidates'!L797,'ONET candidates'!L798,'ONET candidates'!L799,'ONET candidates'!L800,'ONET candidates'!L801,'ONET candidates'!L802,'ONET candidates'!L803,'ONET candidates'!L804,'ONET candidates'!L805,'ONET candidates'!L806,'ONET candidates'!L807,'ONET candidates'!L808,'ONET candidates'!L809)</x:f>
        <x:v>4.8001</x:v>
      </x:c>
      <x:c r="L127" s="36" t="n">
        <x:f>AVERAGE('ONET candidates'!M704,'ONET candidates'!M705,'ONET candidates'!M706,'ONET candidates'!M707,'ONET candidates'!M708,'ONET candidates'!M709,'ONET candidates'!M710,'ONET candidates'!M711,'ONET candidates'!M712,'ONET candidates'!M713,'ONET candidates'!M715,'ONET candidates'!M716,'ONET candidates'!M717,'ONET candidates'!M718,'ONET candidates'!M719,'ONET candidates'!M720,'ONET candidates'!M721,'ONET candidates'!M723,'ONET candidates'!M724,'ONET candidates'!M725,'ONET candidates'!M726,'ONET candidates'!M727,'ONET candidates'!M728,'ONET candidates'!M729,'ONET candidates'!M730,'ONET candidates'!M731,'ONET candidates'!M732,'ONET candidates'!M733,'ONET candidates'!M734,'ONET candidates'!M735,'ONET candidates'!M736,'ONET candidates'!M737,'ONET candidates'!M738,'ONET candidates'!M739,'ONET candidates'!M740,'ONET candidates'!M741,'ONET candidates'!M742,'ONET candidates'!M743,'ONET candidates'!M744,'ONET candidates'!M745,'ONET candidates'!M747,'ONET candidates'!M748,'ONET candidates'!M749,'ONET candidates'!M750,'ONET candidates'!M751,'ONET candidates'!M752,'ONET candidates'!M753,'ONET candidates'!M754,'ONET candidates'!M755,'ONET candidates'!M756,'ONET candidates'!M757,'ONET candidates'!M758,'ONET candidates'!M759,'ONET candidates'!M760,'ONET candidates'!M761,'ONET candidates'!M762,'ONET candidates'!M763,'ONET candidates'!M765,'ONET candidates'!M766,'ONET candidates'!M767,'ONET candidates'!M768,'ONET candidates'!M769,'ONET candidates'!M770,'ONET candidates'!M772,'ONET candidates'!M773,'ONET candidates'!M774,'ONET candidates'!M775,'ONET candidates'!M776,'ONET candidates'!M777,'ONET candidates'!M778,'ONET candidates'!M779,'ONET candidates'!M781,'ONET candidates'!M782,'ONET candidates'!M783,'ONET candidates'!M784,'ONET candidates'!M785,'ONET candidates'!M786,'ONET candidates'!M787,'ONET candidates'!M788,'ONET candidates'!M789,'ONET candidates'!M790,'ONET candidates'!M791,'ONET candidates'!M792,'ONET candidates'!M793,'ONET candidates'!M794,'ONET candidates'!M795,'ONET candidates'!M796,'ONET candidates'!M797,'ONET candidates'!M798,'ONET candidates'!M799,'ONET candidates'!M800,'ONET candidates'!M801,'ONET candidates'!M802,'ONET candidates'!M803,'ONET candidates'!M804,'ONET candidates'!M805,'ONET candidates'!M806,'ONET candidates'!M807,'ONET candidates'!M808,'ONET candidates'!M809)</x:f>
        <x:v>3.1235000000000013</x:v>
      </x:c>
      <x:c r="M127" s="1" t="str">
        <x:v>1.33–5.00</x:v>
      </x:c>
      <x:c r="N127" s="1" t="str">
        <x:v>1.50–4.83</x:v>
      </x:c>
      <x:c r="O127" s="1" t="str">
        <x:v>1.33–4.67</x:v>
      </x:c>
      <x:c r="P127" s="1" t="str">
        <x:v>1.67–5.67</x:v>
      </x:c>
      <x:c r="Q127" s="1" t="str">
        <x:v>2.67–6.67</x:v>
      </x:c>
      <x:c r="R127" s="1" t="str">
        <x:v>1.67–5.67</x:v>
      </x:c>
      <x:c r="S127" s="32" t="str">
        <x:v>partial</x:v>
      </x:c>
      <x:c r="T127" s="32" t="str">
        <x:v>None</x:v>
      </x:c>
    </x:row>
    <x:row r="128" ht="34.5" customHeight="1">
      <x:c r="A128" s="1" t="str">
        <x:v>784050</x:v>
      </x:c>
      <x:c r="B128" s="32" t="str">
        <x:v>Transportation and material moving occupations</x:v>
      </x:c>
      <x:c r="C128" s="33" t="n">
        <x:v>402</x:v>
      </x:c>
      <x:c r="D128" s="57" t="str">
        <x:v>Occupation mean</x:v>
      </x:c>
      <x:c r="E128" s="63" t="str">
        <x:v>43/53</x:v>
      </x:c>
      <x:c r="F128" s="64" t="n">
        <x:v>0.8113207547169812</x:v>
      </x:c>
      <x:c r="G128" s="36" t="n">
        <x:f>AVERAGE('ONET candidates'!H811,'ONET candidates'!H812,'ONET candidates'!H813,'ONET candidates'!H816,'ONET candidates'!H817,'ONET candidates'!H818,'ONET candidates'!H819,'ONET candidates'!H820,'ONET candidates'!H821,'ONET candidates'!H822,'ONET candidates'!H823,'ONET candidates'!H824,'ONET candidates'!H826,'ONET candidates'!H830,'ONET candidates'!H831,'ONET candidates'!H832,'ONET candidates'!H833,'ONET candidates'!H834,'ONET candidates'!H836,'ONET candidates'!H837,'ONET candidates'!H838,'ONET candidates'!H839,'ONET candidates'!H840,'ONET candidates'!H841,'ONET candidates'!H842,'ONET candidates'!H844,'ONET candidates'!H845,'ONET candidates'!H846,'ONET candidates'!H848,'ONET candidates'!H849,'ONET candidates'!H850,'ONET candidates'!H851,'ONET candidates'!H852,'ONET candidates'!H853,'ONET candidates'!H854,'ONET candidates'!H855,'ONET candidates'!H856,'ONET candidates'!H857,'ONET candidates'!H858,'ONET candidates'!H859,'ONET candidates'!H860,'ONET candidates'!H861,'ONET candidates'!H862)</x:f>
        <x:v>2.916046511627907</x:v>
      </x:c>
      <x:c r="H128" s="36" t="n">
        <x:f>AVERAGE('ONET candidates'!I811,'ONET candidates'!I812,'ONET candidates'!I813,'ONET candidates'!I816,'ONET candidates'!I817,'ONET candidates'!I818,'ONET candidates'!I819,'ONET candidates'!I820,'ONET candidates'!I821,'ONET candidates'!I822,'ONET candidates'!I823,'ONET candidates'!I824,'ONET candidates'!I826,'ONET candidates'!I830,'ONET candidates'!I831,'ONET candidates'!I832,'ONET candidates'!I833,'ONET candidates'!I834,'ONET candidates'!I836,'ONET candidates'!I837,'ONET candidates'!I838,'ONET candidates'!I839,'ONET candidates'!I840,'ONET candidates'!I841,'ONET candidates'!I842,'ONET candidates'!I844,'ONET candidates'!I845,'ONET candidates'!I846,'ONET candidates'!I848,'ONET candidates'!I849,'ONET candidates'!I850,'ONET candidates'!I851,'ONET candidates'!I852,'ONET candidates'!I853,'ONET candidates'!I854,'ONET candidates'!I855,'ONET candidates'!I856,'ONET candidates'!I857,'ONET candidates'!I858,'ONET candidates'!I859,'ONET candidates'!I860,'ONET candidates'!I861,'ONET candidates'!I862)</x:f>
        <x:v>3.4062790697674417</x:v>
      </x:c>
      <x:c r="I128" s="36" t="n">
        <x:f>AVERAGE('ONET candidates'!J811,'ONET candidates'!J812,'ONET candidates'!J813,'ONET candidates'!J816,'ONET candidates'!J817,'ONET candidates'!J818,'ONET candidates'!J819,'ONET candidates'!J820,'ONET candidates'!J821,'ONET candidates'!J822,'ONET candidates'!J823,'ONET candidates'!J824,'ONET candidates'!J826,'ONET candidates'!J830,'ONET candidates'!J831,'ONET candidates'!J832,'ONET candidates'!J833,'ONET candidates'!J834,'ONET candidates'!J836,'ONET candidates'!J837,'ONET candidates'!J838,'ONET candidates'!J839,'ONET candidates'!J840,'ONET candidates'!J841,'ONET candidates'!J842,'ONET candidates'!J844,'ONET candidates'!J845,'ONET candidates'!J846,'ONET candidates'!J848,'ONET candidates'!J849,'ONET candidates'!J850,'ONET candidates'!J851,'ONET candidates'!J852,'ONET candidates'!J853,'ONET candidates'!J854,'ONET candidates'!J855,'ONET candidates'!J856,'ONET candidates'!J857,'ONET candidates'!J858,'ONET candidates'!J859,'ONET candidates'!J860,'ONET candidates'!J861,'ONET candidates'!J862)</x:f>
        <x:v>2.72953488372093</x:v>
      </x:c>
      <x:c r="J128" s="36" t="n">
        <x:f>AVERAGE('ONET candidates'!K811,'ONET candidates'!K812,'ONET candidates'!K813,'ONET candidates'!K816,'ONET candidates'!K817,'ONET candidates'!K818,'ONET candidates'!K819,'ONET candidates'!K820,'ONET candidates'!K821,'ONET candidates'!K822,'ONET candidates'!K823,'ONET candidates'!K824,'ONET candidates'!K826,'ONET candidates'!K830,'ONET candidates'!K831,'ONET candidates'!K832,'ONET candidates'!K833,'ONET candidates'!K834,'ONET candidates'!K836,'ONET candidates'!K837,'ONET candidates'!K838,'ONET candidates'!K839,'ONET candidates'!K840,'ONET candidates'!K841,'ONET candidates'!K842,'ONET candidates'!K844,'ONET candidates'!K845,'ONET candidates'!K846,'ONET candidates'!K848,'ONET candidates'!K849,'ONET candidates'!K850,'ONET candidates'!K851,'ONET candidates'!K852,'ONET candidates'!K853,'ONET candidates'!K854,'ONET candidates'!K855,'ONET candidates'!K856,'ONET candidates'!K857,'ONET candidates'!K858,'ONET candidates'!K859,'ONET candidates'!K860,'ONET candidates'!K861,'ONET candidates'!K862)</x:f>
        <x:v>4.236279069767442</x:v>
      </x:c>
      <x:c r="K128" s="36" t="n">
        <x:f>AVERAGE('ONET candidates'!L811,'ONET candidates'!L812,'ONET candidates'!L813,'ONET candidates'!L816,'ONET candidates'!L817,'ONET candidates'!L818,'ONET candidates'!L819,'ONET candidates'!L820,'ONET candidates'!L821,'ONET candidates'!L822,'ONET candidates'!L823,'ONET candidates'!L824,'ONET candidates'!L826,'ONET candidates'!L830,'ONET candidates'!L831,'ONET candidates'!L832,'ONET candidates'!L833,'ONET candidates'!L834,'ONET candidates'!L836,'ONET candidates'!L837,'ONET candidates'!L838,'ONET candidates'!L839,'ONET candidates'!L840,'ONET candidates'!L841,'ONET candidates'!L842,'ONET candidates'!L844,'ONET candidates'!L845,'ONET candidates'!L846,'ONET candidates'!L848,'ONET candidates'!L849,'ONET candidates'!L850,'ONET candidates'!L851,'ONET candidates'!L852,'ONET candidates'!L853,'ONET candidates'!L854,'ONET candidates'!L855,'ONET candidates'!L856,'ONET candidates'!L857,'ONET candidates'!L858,'ONET candidates'!L859,'ONET candidates'!L860,'ONET candidates'!L861,'ONET candidates'!L862)</x:f>
        <x:v>5.0304651162790694</x:v>
      </x:c>
      <x:c r="L128" s="36" t="n">
        <x:f>AVERAGE('ONET candidates'!M811,'ONET candidates'!M812,'ONET candidates'!M813,'ONET candidates'!M816,'ONET candidates'!M817,'ONET candidates'!M818,'ONET candidates'!M819,'ONET candidates'!M820,'ONET candidates'!M821,'ONET candidates'!M822,'ONET candidates'!M823,'ONET candidates'!M824,'ONET candidates'!M826,'ONET candidates'!M830,'ONET candidates'!M831,'ONET candidates'!M832,'ONET candidates'!M833,'ONET candidates'!M834,'ONET candidates'!M836,'ONET candidates'!M837,'ONET candidates'!M838,'ONET candidates'!M839,'ONET candidates'!M840,'ONET candidates'!M841,'ONET candidates'!M842,'ONET candidates'!M844,'ONET candidates'!M845,'ONET candidates'!M846,'ONET candidates'!M848,'ONET candidates'!M849,'ONET candidates'!M850,'ONET candidates'!M851,'ONET candidates'!M852,'ONET candidates'!M853,'ONET candidates'!M854,'ONET candidates'!M855,'ONET candidates'!M856,'ONET candidates'!M857,'ONET candidates'!M858,'ONET candidates'!M859,'ONET candidates'!M860,'ONET candidates'!M861,'ONET candidates'!M862)</x:f>
        <x:v>3.87093023255814</x:v>
      </x:c>
      <x:c r="M128" s="1" t="str">
        <x:v>1.33–5.67</x:v>
      </x:c>
      <x:c r="N128" s="1" t="str">
        <x:v>1.67–5.83</x:v>
      </x:c>
      <x:c r="O128" s="1" t="str">
        <x:v>1.00–6.00</x:v>
      </x:c>
      <x:c r="P128" s="1" t="str">
        <x:v>2.33–6.33</x:v>
      </x:c>
      <x:c r="Q128" s="1" t="str">
        <x:v>2.33–6.67</x:v>
      </x:c>
      <x:c r="R128" s="1" t="str">
        <x:v>2.00–6.33</x:v>
      </x:c>
      <x:c r="S128" s="32" t="str">
        <x:v>partial</x:v>
      </x:c>
      <x:c r="T128" s="32" t="str">
        <x:v>None</x:v>
      </x:c>
    </x:row>
  </x:sheetData>
  <x:pageMargins left="0.7" right="0.7" top="0.75" bottom="0.75" header="0.3" footer="0.3"/>
  <x:tableParts count="1">
    <x:tablePart xmlns:r="http://schemas.openxmlformats.org/officeDocument/2006/relationships" r:id="R073d2fd3effc4148"/>
  </x:tableParts>
</x:worksheet>
</file>

<file path=xl/worksheets/sheet4.xml><?xml version="1.0" encoding="utf-8"?>
<x:worksheet xmlns:x="http://schemas.openxmlformats.org/spreadsheetml/2006/main">
  <x:sheetPr>
    <x:tabColor rgb="FF263A55"/>
  </x:sheetPr>
  <x:sheetViews>
    <x:sheetView showGridLines="0" workbookViewId="0">
      <x:pane xSplit="2" ySplit="6" topLeftCell="C7" activePane="bottomRight" state="frozen"/>
    </x:sheetView>
  </x:sheetViews>
  <x:sheetFormatPr defaultRowHeight="15"/>
  <x:cols>
    <x:col min="1" max="1" width="10" hidden="0" customWidth="1"/>
    <x:col min="2" max="2" width="12.779999732971191" hidden="0" customWidth="1"/>
    <x:col min="3" max="3" width="44.439998626708984" hidden="0" customWidth="1"/>
    <x:col min="4" max="4" width="9.4399995803833" hidden="0" customWidth="1"/>
    <x:col min="5" max="5" width="18.329999923706055" hidden="0" customWidth="1"/>
    <x:col min="6" max="6" width="16.670000076293945" hidden="0" customWidth="1"/>
    <x:col min="7" max="7" width="20.559999465942383" hidden="0" customWidth="1"/>
    <x:col min="8" max="8" width="55.560001373291016" hidden="0" customWidth="1"/>
    <x:col min="9" max="9" width="24.440000534057617" hidden="0" customWidth="1"/>
  </x:cols>
  <x:sheetData>
    <x:row r="1">
      <x:c r="A1" s="12"/>
      <x:c r="B1" s="12"/>
      <x:c r="C1" s="12"/>
      <x:c r="D1" s="12"/>
      <x:c r="E1" s="12"/>
      <x:c r="F1" s="12"/>
      <x:c r="G1" s="12"/>
      <x:c r="H1" s="12"/>
      <x:c r="I1" s="12"/>
    </x:row>
    <x:row r="2" ht="24" customHeight="1">
      <x:c r="A2" s="12"/>
      <x:c r="B2" s="12"/>
      <x:c r="C2" s="65" t="str">
        <x:v>Scope decisions</x:v>
      </x:c>
      <x:c r="D2" s="12"/>
      <x:c r="E2" s="12"/>
      <x:c r="F2" s="12"/>
      <x:c r="G2" s="12"/>
      <x:c r="H2" s="12"/>
      <x:c r="I2" s="12"/>
    </x:row>
    <x:row r="3">
      <x:c r="A3" s="12"/>
      <x:c r="B3" s="12"/>
      <x:c r="C3" s="68" t="str">
        <x:v>Two categories included; two excluded.</x:v>
      </x:c>
      <x:c r="D3" s="68"/>
      <x:c r="E3" s="68"/>
      <x:c r="F3" s="68"/>
      <x:c r="G3" s="68"/>
      <x:c r="H3" s="68"/>
      <x:c r="I3" s="68"/>
    </x:row>
    <x:row r="4">
      <x:c r="A4" s="12"/>
      <x:c r="B4" s="12"/>
      <x:c r="C4" s="12" t="str">
        <x:v>Occupation-level mappings used in the integrated subset.</x:v>
      </x:c>
      <x:c r="D4" s="12"/>
      <x:c r="E4" s="12"/>
      <x:c r="F4" s="12"/>
      <x:c r="G4" s="12"/>
      <x:c r="H4" s="12"/>
      <x:c r="I4" s="12"/>
    </x:row>
    <x:row r="5">
      <x:c r="A5" s="12"/>
      <x:c r="B5" s="12"/>
      <x:c r="C5" s="12"/>
      <x:c r="D5" s="12"/>
      <x:c r="E5" s="12"/>
      <x:c r="F5" s="12"/>
      <x:c r="G5" s="12"/>
      <x:c r="H5" s="12"/>
      <x:c r="I5" s="12"/>
    </x:row>
    <x:row r="6" ht="31.5" customHeight="1">
      <x:c r="A6" s="50" t="str">
        <x:v>NSCG code</x:v>
      </x:c>
      <x:c r="B6" s="50" t="str">
        <x:v>Questionnaire code</x:v>
      </x:c>
      <x:c r="C6" s="50" t="str">
        <x:v>NSCG occupation</x:v>
      </x:c>
      <x:c r="D6" s="50" t="str">
        <x:v>Eligible people</x:v>
      </x:c>
      <x:c r="E6" s="50" t="str">
        <x:v>Decision</x:v>
      </x:c>
      <x:c r="F6" s="50" t="str">
        <x:v>Rated / members</x:v>
      </x:c>
      <x:c r="G6" s="50" t="str">
        <x:v>Mapping assumption</x:v>
      </x:c>
      <x:c r="H6" s="50" t="str">
        <x:v>Scope / reason</x:v>
      </x:c>
      <x:c r="I6" s="50" t="str">
        <x:v>Review row</x:v>
      </x:c>
    </x:row>
    <x:row r="7" ht="52.5" customHeight="1">
      <x:c r="A7" s="12" t="str">
        <x:v>611140</x:v>
      </x:c>
      <x:c r="B7" s="12" t="str">
        <x:v>114</x:v>
      </x:c>
      <x:c r="C7" s="12" t="str">
        <x:v>Other health occupations</x:v>
      </x:c>
      <x:c r="D7" s="12" t="n">
        <x:v>1754</x:v>
      </x:c>
      <x:c r="E7" s="12" t="str">
        <x:v>Include</x:v>
      </x:c>
      <x:c r="F7" s="12" t="str">
        <x:v>22/24</x:v>
      </x:c>
      <x:c r="G7" s="12" t="str">
        <x:v>Remaining health occupations</x:v>
      </x:c>
      <x:c r="H7" s="12" t="str">
        <x:v>SOC29/31 plus occupational health/safety, minus separately assigned health groups. Health/safety moved from SOC2010 29-901 to SOC2018 19-501.</x:v>
      </x:c>
      <x:c r="I7" s="12" t="str">
        <x:v>NSCG review!A75</x:v>
      </x:c>
    </x:row>
    <x:row r="8" ht="52.5" customHeight="1">
      <x:c r="A8" s="12" t="str">
        <x:v>732570</x:v>
      </x:c>
      <x:c r="B8" s="12" t="str">
        <x:v>257</x:v>
      </x:c>
      <x:c r="C8" s="12" t="str">
        <x:v>Teachers: Other precollegiate area</x:v>
      </x:c>
      <x:c r="D8" s="12" t="n">
        <x:v>171</x:v>
      </x:c>
      <x:c r="E8" s="12" t="str">
        <x:v>Exclude (uncertain mapping)</x:v>
      </x:c>
      <x:c r="F8" s="12" t="str">
        <x:v>Not applicable</x:v>
      </x:c>
      <x:c r="G8" s="12" t="str">
        <x:v>None</x:v>
      </x:c>
      <x:c r="H8" s="12" t="str">
        <x:v>Teaching subtypes are unspecified. SOC25-2000 is too broad; adult education cannot represent the whole category.</x:v>
      </x:c>
      <x:c r="I8" s="12" t="str">
        <x:v>NSCG review!A104</x:v>
      </x:c>
    </x:row>
    <x:row r="9" ht="52.5" customHeight="1">
      <x:c r="A9" s="12" t="str">
        <x:v>783000</x:v>
      </x:c>
      <x:c r="B9" s="12" t="str">
        <x:v>300</x:v>
      </x:c>
      <x:c r="C9" s="12" t="str">
        <x:v>Other teachers and instructors (e.g., private tutors, dance or flying instructors, martial arts instructors)</x:v>
      </x:c>
      <x:c r="D9" s="12" t="n">
        <x:v>661</x:v>
      </x:c>
      <x:c r="E9" s="12" t="str">
        <x:v>Include</x:v>
      </x:c>
      <x:c r="F9" s="12" t="str">
        <x:v>7/8</x:v>
      </x:c>
      <x:c r="G9" s="12" t="str">
        <x:v>Broader pilot and coaching profiles</x:v>
      </x:c>
      <x:c r="H9" s="12" t="str">
        <x:v>Tutoring, self-enrichment, farm/home education, sports/fitness and flight instruction. Pilot and coaching profiles also include non-teaching duties.</x:v>
      </x:c>
      <x:c r="I9" s="12" t="str">
        <x:v>NSCG review!A132</x:v>
      </x:c>
    </x:row>
    <x:row r="10" ht="52.5" customHeight="1">
      <x:c r="A10" s="12" t="str">
        <x:v>785000</x:v>
      </x:c>
      <x:c r="B10" s="12" t="str">
        <x:v>500</x:v>
      </x:c>
      <x:c r="C10" s="12" t="str">
        <x:v>Other occupations (not elsewhere classified)</x:v>
      </x:c>
      <x:c r="D10" s="12" t="n">
        <x:v>377</x:v>
      </x:c>
      <x:c r="E10" s="12" t="str">
        <x:v>Exclude (uncertain mapping)</x:v>
      </x:c>
      <x:c r="F10" s="12" t="str">
        <x:v>No candidate</x:v>
      </x:c>
      <x:c r="G10" s="12" t="str">
        <x:v>None</x:v>
      </x:c>
      <x:c r="H10" s="12" t="str">
        <x:v>No identifiable occupation group; do not substitute an arbitrary All Other profile or an all-occupation mean.</x:v>
      </x:c>
      <x:c r="I10" s="12" t="str">
        <x:v>NSCG review!A137</x:v>
      </x:c>
    </x:row>
    <x:row r="11">
      <x:c r="A11" s="12"/>
      <x:c r="B11" s="12"/>
      <x:c r="C11" s="12"/>
      <x:c r="D11" s="12"/>
      <x:c r="E11" s="12"/>
      <x:c r="F11" s="12"/>
      <x:c r="G11" s="12"/>
      <x:c r="H11" s="12"/>
      <x:c r="I11" s="12"/>
    </x:row>
    <x:row r="12" ht="17.25" customHeight="1">
      <x:c r="A12" s="12"/>
      <x:c r="B12" s="12"/>
      <x:c r="C12" s="68" t="str">
        <x:v>Included and excluded rows are listed below. Only included rows contribute to means.</x:v>
      </x:c>
      <x:c r="D12" s="68"/>
      <x:c r="E12" s="68"/>
      <x:c r="F12" s="68"/>
      <x:c r="G12" s="68"/>
      <x:c r="H12" s="68"/>
      <x:c r="I12" s="68"/>
    </x:row>
    <x:row r="13" ht="17.25" customHeight="1">
      <x:c r="A13" s="12"/>
      <x:c r="B13" s="12"/>
      <x:c r="C13" s="68" t="str">
        <x:v>Health domain: SOC29 + SOC31 + occupational health/safety, minus separately assigned health groups.</x:v>
      </x:c>
      <x:c r="D13" s="68"/>
      <x:c r="E13" s="68"/>
      <x:c r="F13" s="68"/>
      <x:c r="G13" s="68"/>
      <x:c r="H13" s="68"/>
      <x:c r="I13" s="68"/>
    </x:row>
    <x:row r="14" ht="17.25" customHeight="1">
      <x:c r="A14" s="12"/>
      <x:c r="B14" s="12"/>
      <x:c r="C14" s="68" t="str">
        <x:v>Teaching domain: eight profiles; pilot and coaching ratings are broader than teaching-only jobs.</x:v>
      </x:c>
      <x:c r="D14" s="68"/>
      <x:c r="E14" s="68"/>
      <x:c r="F14" s="68"/>
      <x:c r="G14" s="68"/>
      <x:c r="H14" s="68"/>
      <x:c r="I14" s="68"/>
    </x:row>
    <x:row r="15" ht="17.25" customHeight="1">
      <x:c r="A15" s="12"/>
      <x:c r="B15" s="12"/>
      <x:c r="C15" s="68" t="str">
        <x:v>SOC definitions: https://www.bls.gov/soc/2018/major_groups.htm</x:v>
      </x:c>
      <x:c r="D15" s="68"/>
      <x:c r="E15" s="68"/>
      <x:c r="F15" s="68"/>
      <x:c r="G15" s="68"/>
      <x:c r="H15" s="68"/>
      <x:c r="I15" s="68"/>
    </x:row>
    <x:row r="16" ht="17.25" customHeight="1">
      <x:c r="A16" s="12"/>
      <x:c r="B16" s="12"/>
      <x:c r="C16" s="68" t="str">
        <x:v>Health-code history: https://www.bls.gov/soc/2018/soc_2018_manual.pdf#page=236</x:v>
      </x:c>
      <x:c r="D16" s="68"/>
      <x:c r="E16" s="68"/>
      <x:c r="F16" s="68"/>
      <x:c r="G16" s="68"/>
      <x:c r="H16" s="68"/>
      <x:c r="I16" s="68"/>
    </x:row>
    <x:row r="17" ht="17.25" customHeight="1">
      <x:c r="A17" s="12"/>
      <x:c r="B17" s="12"/>
      <x:c r="C17" s="68" t="str">
        <x:v>NSCG 2023 questionnaire pp.20–21; ratings from O*NET30.2 Work Values, EX.</x:v>
      </x:c>
      <x:c r="D17" s="68"/>
      <x:c r="E17" s="68"/>
      <x:c r="F17" s="68"/>
      <x:c r="G17" s="68"/>
      <x:c r="H17" s="68"/>
      <x:c r="I17" s="68"/>
    </x:row>
    <x:row r="18">
      <x:c r="A18" s="12"/>
      <x:c r="B18" s="12"/>
      <x:c r="C18" s="12"/>
      <x:c r="D18" s="12"/>
      <x:c r="E18" s="12"/>
      <x:c r="F18" s="12"/>
      <x:c r="G18" s="12"/>
      <x:c r="H18" s="12"/>
      <x:c r="I18" s="12"/>
    </x:row>
    <x:row r="19">
      <x:c r="A19" s="12"/>
      <x:c r="B19" s="12"/>
      <x:c r="C19" s="12"/>
      <x:c r="D19" s="12"/>
      <x:c r="E19" s="12"/>
      <x:c r="F19" s="12"/>
      <x:c r="G19" s="12"/>
      <x:c r="H19" s="12"/>
      <x:c r="I19" s="12"/>
    </x:row>
    <x:row r="20" ht="31.5" customHeight="1">
      <x:c r="A20" s="50" t="str">
        <x:v>NSCG code</x:v>
      </x:c>
      <x:c r="B20" s="50" t="str">
        <x:v>O*NET .00</x:v>
      </x:c>
      <x:c r="C20" s="50" t="str">
        <x:v>O*NET occupation</x:v>
      </x:c>
      <x:c r="D20" s="50" t="str">
        <x:v>Ratings</x:v>
      </x:c>
      <x:c r="E20" s="50" t="str">
        <x:v>Decision</x:v>
      </x:c>
      <x:c r="F20" s="50" t="str">
        <x:v>Candidate row</x:v>
      </x:c>
      <x:c r="G20" s="50" t="str">
        <x:v>Mapping assumption</x:v>
      </x:c>
      <x:c r="H20" s="50" t="str">
        <x:v>Reason</x:v>
      </x:c>
      <x:c r="I20" s="50" t="str">
        <x:v>Source</x:v>
      </x:c>
    </x:row>
    <x:row r="21" ht="48" customHeight="1">
      <x:c r="A21" s="12" t="str">
        <x:v>611140</x:v>
      </x:c>
      <x:c r="B21" s="12" t="str">
        <x:v>19-5011.00</x:v>
      </x:c>
      <x:c r="C21" s="12" t="str">
        <x:v>Occupational Health and Safety Specialists</x:v>
      </x:c>
      <x:c r="D21" s="12" t="str">
        <x:v>6/6</x:v>
      </x:c>
      <x:c r="E21" s="12" t="str">
        <x:v>Include</x:v>
      </x:c>
      <x:c r="F21" s="12" t="str">
        <x:v>ONET candidates!A165</x:v>
      </x:c>
      <x:c r="G21" s="12" t="str">
        <x:v>Remaining health occupations</x:v>
      </x:c>
      <x:c r="H21" s="12" t="str">
        <x:v>Occupational health/safety moved from SOC2010 29-9011/29-9012 to SOC2018 19-5011/19-5012; included in the remaining health group.</x:v>
      </x:c>
      <x:c r="I21" s="12" t="str">
        <x:v>https://www.onetonline.org/link/summary/19-5011.00</x:v>
      </x:c>
    </x:row>
    <x:row r="22" ht="48" customHeight="1">
      <x:c r="A22" s="12" t="str">
        <x:v>611140</x:v>
      </x:c>
      <x:c r="B22" s="12" t="str">
        <x:v>19-5012.00</x:v>
      </x:c>
      <x:c r="C22" s="12" t="str">
        <x:v>Occupational Health and Safety Technicians</x:v>
      </x:c>
      <x:c r="D22" s="12" t="str">
        <x:v>6/6</x:v>
      </x:c>
      <x:c r="E22" s="12" t="str">
        <x:v>Include</x:v>
      </x:c>
      <x:c r="F22" s="12" t="str">
        <x:v>ONET candidates!A166</x:v>
      </x:c>
      <x:c r="G22" s="12" t="str">
        <x:v>Remaining health occupations</x:v>
      </x:c>
      <x:c r="H22" s="12" t="str">
        <x:v>Occupational health/safety moved from SOC2010 29-9011/29-9012 to SOC2018 19-5011/19-5012; included in the remaining health group.</x:v>
      </x:c>
      <x:c r="I22" s="12" t="str">
        <x:v>https://www.onetonline.org/link/summary/19-5012.00</x:v>
      </x:c>
    </x:row>
    <x:row r="23" ht="48" customHeight="1">
      <x:c r="A23" s="12" t="str">
        <x:v>611140</x:v>
      </x:c>
      <x:c r="B23" s="12" t="str">
        <x:v>29-9091.00</x:v>
      </x:c>
      <x:c r="C23" s="12" t="str">
        <x:v>Athletic Trainers</x:v>
      </x:c>
      <x:c r="D23" s="12" t="str">
        <x:v>6/6</x:v>
      </x:c>
      <x:c r="E23" s="12" t="str">
        <x:v>Include</x:v>
      </x:c>
      <x:c r="F23" s="12" t="str">
        <x:v>ONET candidates!A167</x:v>
      </x:c>
      <x:c r="G23" s="12" t="str">
        <x:v>Remaining health occupations</x:v>
      </x:c>
      <x:c r="H23" s="12" t="str">
        <x:v>SOC29 occupations not assigned to the separate diagnosing/treating, nursing/therapy or technical groups.</x:v>
      </x:c>
      <x:c r="I23" s="12" t="str">
        <x:v>https://www.onetonline.org/link/summary/29-9091.00</x:v>
      </x:c>
    </x:row>
    <x:row r="24" ht="48" customHeight="1">
      <x:c r="A24" s="12" t="str">
        <x:v>611140</x:v>
      </x:c>
      <x:c r="B24" s="12" t="str">
        <x:v>29-9092.00</x:v>
      </x:c>
      <x:c r="C24" s="12" t="str">
        <x:v>Genetic Counselors</x:v>
      </x:c>
      <x:c r="D24" s="12" t="str">
        <x:v>6/6</x:v>
      </x:c>
      <x:c r="E24" s="12" t="str">
        <x:v>Include</x:v>
      </x:c>
      <x:c r="F24" s="12" t="str">
        <x:v>ONET candidates!A168</x:v>
      </x:c>
      <x:c r="G24" s="12" t="str">
        <x:v>Remaining health occupations</x:v>
      </x:c>
      <x:c r="H24" s="12" t="str">
        <x:v>SOC29 occupations not assigned to the separate diagnosing/treating, nursing/therapy or technical groups.</x:v>
      </x:c>
      <x:c r="I24" s="12" t="str">
        <x:v>https://www.onetonline.org/link/summary/29-9092.00</x:v>
      </x:c>
    </x:row>
    <x:row r="25" ht="48" customHeight="1">
      <x:c r="A25" s="12" t="str">
        <x:v>611140</x:v>
      </x:c>
      <x:c r="B25" s="12" t="str">
        <x:v>29-9093.00</x:v>
      </x:c>
      <x:c r="C25" s="12" t="str">
        <x:v>Surgical Assistants</x:v>
      </x:c>
      <x:c r="D25" s="12" t="str">
        <x:v>6/6</x:v>
      </x:c>
      <x:c r="E25" s="12" t="str">
        <x:v>Include</x:v>
      </x:c>
      <x:c r="F25" s="12" t="str">
        <x:v>ONET candidates!A169</x:v>
      </x:c>
      <x:c r="G25" s="12" t="str">
        <x:v>Remaining health occupations</x:v>
      </x:c>
      <x:c r="H25" s="12" t="str">
        <x:v>SOC29 occupations not assigned to the separate diagnosing/treating, nursing/therapy or technical groups.</x:v>
      </x:c>
      <x:c r="I25" s="12" t="str">
        <x:v>https://www.onetonline.org/link/summary/29-9093.00</x:v>
      </x:c>
    </x:row>
    <x:row r="26" ht="48" customHeight="1">
      <x:c r="A26" s="12" t="str">
        <x:v>611140</x:v>
      </x:c>
      <x:c r="B26" s="12" t="str">
        <x:v>29-9099.00</x:v>
      </x:c>
      <x:c r="C26" s="12" t="str">
        <x:v>Healthcare Practitioners and Technical Workers, All Other</x:v>
      </x:c>
      <x:c r="D26" s="12" t="str">
        <x:v>0/6</x:v>
      </x:c>
      <x:c r="E26" s="12" t="str">
        <x:v>Exclude (no Work Values)</x:v>
      </x:c>
      <x:c r="F26" s="12" t="str">
        <x:v>ONET candidates!A170</x:v>
      </x:c>
      <x:c r="G26" s="12" t="str">
        <x:v>Remaining health occupations</x:v>
      </x:c>
      <x:c r="H26" s="12" t="str">
        <x:v>Remaining SOC29 health occupation; no Work Values.</x:v>
      </x:c>
      <x:c r="I26" s="12" t="str">
        <x:v>https://www.onetonline.org/link/summary/29-9099.00</x:v>
      </x:c>
    </x:row>
    <x:row r="27" ht="48" customHeight="1">
      <x:c r="A27" s="12" t="str">
        <x:v>611140</x:v>
      </x:c>
      <x:c r="B27" s="12" t="str">
        <x:v>31-1121.00</x:v>
      </x:c>
      <x:c r="C27" s="12" t="str">
        <x:v>Home Health Aides</x:v>
      </x:c>
      <x:c r="D27" s="12" t="str">
        <x:v>6/6</x:v>
      </x:c>
      <x:c r="E27" s="12" t="str">
        <x:v>Include</x:v>
      </x:c>
      <x:c r="F27" s="12" t="str">
        <x:v>ONET candidates!A171</x:v>
      </x:c>
      <x:c r="G27" s="12" t="str">
        <x:v>Remaining health occupations</x:v>
      </x:c>
      <x:c r="H27" s="12" t="str">
        <x:v>SOC31 healthcare support, outside the separately listed NSCG health groups.</x:v>
      </x:c>
      <x:c r="I27" s="12" t="str">
        <x:v>https://www.onetonline.org/link/summary/31-1121.00</x:v>
      </x:c>
    </x:row>
    <x:row r="28" ht="48" customHeight="1">
      <x:c r="A28" s="12" t="str">
        <x:v>611140</x:v>
      </x:c>
      <x:c r="B28" s="12" t="str">
        <x:v>31-1122.00</x:v>
      </x:c>
      <x:c r="C28" s="12" t="str">
        <x:v>Personal Care Aides</x:v>
      </x:c>
      <x:c r="D28" s="12" t="str">
        <x:v>6/6</x:v>
      </x:c>
      <x:c r="E28" s="12" t="str">
        <x:v>Include</x:v>
      </x:c>
      <x:c r="F28" s="12" t="str">
        <x:v>ONET candidates!A172</x:v>
      </x:c>
      <x:c r="G28" s="12" t="str">
        <x:v>Remaining health occupations</x:v>
      </x:c>
      <x:c r="H28" s="12" t="str">
        <x:v>SOC31 healthcare support, outside the separately listed NSCG health groups.</x:v>
      </x:c>
      <x:c r="I28" s="12" t="str">
        <x:v>https://www.onetonline.org/link/summary/31-1122.00</x:v>
      </x:c>
    </x:row>
    <x:row r="29" ht="48" customHeight="1">
      <x:c r="A29" s="12" t="str">
        <x:v>611140</x:v>
      </x:c>
      <x:c r="B29" s="12" t="str">
        <x:v>31-1131.00</x:v>
      </x:c>
      <x:c r="C29" s="12" t="str">
        <x:v>Nursing Assistants</x:v>
      </x:c>
      <x:c r="D29" s="12" t="str">
        <x:v>6/6</x:v>
      </x:c>
      <x:c r="E29" s="12" t="str">
        <x:v>Include</x:v>
      </x:c>
      <x:c r="F29" s="12" t="str">
        <x:v>ONET candidates!A173</x:v>
      </x:c>
      <x:c r="G29" s="12" t="str">
        <x:v>Remaining health occupations</x:v>
      </x:c>
      <x:c r="H29" s="12" t="str">
        <x:v>SOC31 healthcare support, outside the separately listed NSCG health groups.</x:v>
      </x:c>
      <x:c r="I29" s="12" t="str">
        <x:v>https://www.onetonline.org/link/summary/31-1131.00</x:v>
      </x:c>
    </x:row>
    <x:row r="30" ht="48" customHeight="1">
      <x:c r="A30" s="12" t="str">
        <x:v>611140</x:v>
      </x:c>
      <x:c r="B30" s="12" t="str">
        <x:v>31-1132.00</x:v>
      </x:c>
      <x:c r="C30" s="12" t="str">
        <x:v>Orderlies</x:v>
      </x:c>
      <x:c r="D30" s="12" t="str">
        <x:v>6/6</x:v>
      </x:c>
      <x:c r="E30" s="12" t="str">
        <x:v>Include</x:v>
      </x:c>
      <x:c r="F30" s="12" t="str">
        <x:v>ONET candidates!A174</x:v>
      </x:c>
      <x:c r="G30" s="12" t="str">
        <x:v>Remaining health occupations</x:v>
      </x:c>
      <x:c r="H30" s="12" t="str">
        <x:v>SOC31 healthcare support, outside the separately listed NSCG health groups.</x:v>
      </x:c>
      <x:c r="I30" s="12" t="str">
        <x:v>https://www.onetonline.org/link/summary/31-1132.00</x:v>
      </x:c>
    </x:row>
    <x:row r="31" ht="48" customHeight="1">
      <x:c r="A31" s="12" t="str">
        <x:v>611140</x:v>
      </x:c>
      <x:c r="B31" s="12" t="str">
        <x:v>31-1133.00</x:v>
      </x:c>
      <x:c r="C31" s="12" t="str">
        <x:v>Psychiatric Aides</x:v>
      </x:c>
      <x:c r="D31" s="12" t="str">
        <x:v>6/6</x:v>
      </x:c>
      <x:c r="E31" s="12" t="str">
        <x:v>Include</x:v>
      </x:c>
      <x:c r="F31" s="12" t="str">
        <x:v>ONET candidates!A175</x:v>
      </x:c>
      <x:c r="G31" s="12" t="str">
        <x:v>Remaining health occupations</x:v>
      </x:c>
      <x:c r="H31" s="12" t="str">
        <x:v>SOC31 healthcare support, outside the separately listed NSCG health groups.</x:v>
      </x:c>
      <x:c r="I31" s="12" t="str">
        <x:v>https://www.onetonline.org/link/summary/31-1133.00</x:v>
      </x:c>
    </x:row>
    <x:row r="32" ht="48" customHeight="1">
      <x:c r="A32" s="12" t="str">
        <x:v>611140</x:v>
      </x:c>
      <x:c r="B32" s="12" t="str">
        <x:v>31-2011.00</x:v>
      </x:c>
      <x:c r="C32" s="12" t="str">
        <x:v>Occupational Therapy Assistants</x:v>
      </x:c>
      <x:c r="D32" s="12" t="str">
        <x:v>6/6</x:v>
      </x:c>
      <x:c r="E32" s="12" t="str">
        <x:v>Include</x:v>
      </x:c>
      <x:c r="F32" s="12" t="str">
        <x:v>ONET candidates!A176</x:v>
      </x:c>
      <x:c r="G32" s="12" t="str">
        <x:v>Remaining health occupations</x:v>
      </x:c>
      <x:c r="H32" s="12" t="str">
        <x:v>SOC31 healthcare support, outside the separately listed NSCG health groups.</x:v>
      </x:c>
      <x:c r="I32" s="12" t="str">
        <x:v>https://www.onetonline.org/link/summary/31-2011.00</x:v>
      </x:c>
    </x:row>
    <x:row r="33" ht="48" customHeight="1">
      <x:c r="A33" s="12" t="str">
        <x:v>611140</x:v>
      </x:c>
      <x:c r="B33" s="12" t="str">
        <x:v>31-2012.00</x:v>
      </x:c>
      <x:c r="C33" s="12" t="str">
        <x:v>Occupational Therapy Aides</x:v>
      </x:c>
      <x:c r="D33" s="12" t="str">
        <x:v>6/6</x:v>
      </x:c>
      <x:c r="E33" s="12" t="str">
        <x:v>Include</x:v>
      </x:c>
      <x:c r="F33" s="12" t="str">
        <x:v>ONET candidates!A177</x:v>
      </x:c>
      <x:c r="G33" s="12" t="str">
        <x:v>Remaining health occupations</x:v>
      </x:c>
      <x:c r="H33" s="12" t="str">
        <x:v>SOC31 healthcare support, outside the separately listed NSCG health groups.</x:v>
      </x:c>
      <x:c r="I33" s="12" t="str">
        <x:v>https://www.onetonline.org/link/summary/31-2012.00</x:v>
      </x:c>
    </x:row>
    <x:row r="34" ht="48" customHeight="1">
      <x:c r="A34" s="12" t="str">
        <x:v>611140</x:v>
      </x:c>
      <x:c r="B34" s="12" t="str">
        <x:v>31-2021.00</x:v>
      </x:c>
      <x:c r="C34" s="12" t="str">
        <x:v>Physical Therapist Assistants</x:v>
      </x:c>
      <x:c r="D34" s="12" t="str">
        <x:v>6/6</x:v>
      </x:c>
      <x:c r="E34" s="12" t="str">
        <x:v>Include</x:v>
      </x:c>
      <x:c r="F34" s="12" t="str">
        <x:v>ONET candidates!A178</x:v>
      </x:c>
      <x:c r="G34" s="12" t="str">
        <x:v>Remaining health occupations</x:v>
      </x:c>
      <x:c r="H34" s="12" t="str">
        <x:v>SOC31 healthcare support, outside the separately listed NSCG health groups.</x:v>
      </x:c>
      <x:c r="I34" s="12" t="str">
        <x:v>https://www.onetonline.org/link/summary/31-2021.00</x:v>
      </x:c>
    </x:row>
    <x:row r="35" ht="48" customHeight="1">
      <x:c r="A35" s="12" t="str">
        <x:v>611140</x:v>
      </x:c>
      <x:c r="B35" s="12" t="str">
        <x:v>31-2022.00</x:v>
      </x:c>
      <x:c r="C35" s="12" t="str">
        <x:v>Physical Therapist Aides</x:v>
      </x:c>
      <x:c r="D35" s="12" t="str">
        <x:v>6/6</x:v>
      </x:c>
      <x:c r="E35" s="12" t="str">
        <x:v>Include</x:v>
      </x:c>
      <x:c r="F35" s="12" t="str">
        <x:v>ONET candidates!A179</x:v>
      </x:c>
      <x:c r="G35" s="12" t="str">
        <x:v>Remaining health occupations</x:v>
      </x:c>
      <x:c r="H35" s="12" t="str">
        <x:v>SOC31 healthcare support, outside the separately listed NSCG health groups.</x:v>
      </x:c>
      <x:c r="I35" s="12" t="str">
        <x:v>https://www.onetonline.org/link/summary/31-2022.00</x:v>
      </x:c>
    </x:row>
    <x:row r="36" ht="48" customHeight="1">
      <x:c r="A36" s="12" t="str">
        <x:v>611140</x:v>
      </x:c>
      <x:c r="B36" s="12" t="str">
        <x:v>31-9011.00</x:v>
      </x:c>
      <x:c r="C36" s="12" t="str">
        <x:v>Massage Therapists</x:v>
      </x:c>
      <x:c r="D36" s="12" t="str">
        <x:v>6/6</x:v>
      </x:c>
      <x:c r="E36" s="12" t="str">
        <x:v>Include</x:v>
      </x:c>
      <x:c r="F36" s="12" t="str">
        <x:v>ONET candidates!A180</x:v>
      </x:c>
      <x:c r="G36" s="12" t="str">
        <x:v>Remaining health occupations</x:v>
      </x:c>
      <x:c r="H36" s="12" t="str">
        <x:v>SOC31 healthcare support, outside the separately listed NSCG health groups.</x:v>
      </x:c>
      <x:c r="I36" s="12" t="str">
        <x:v>https://www.onetonline.org/link/summary/31-9011.00</x:v>
      </x:c>
    </x:row>
    <x:row r="37" ht="48" customHeight="1">
      <x:c r="A37" s="12" t="str">
        <x:v>611140</x:v>
      </x:c>
      <x:c r="B37" s="12" t="str">
        <x:v>31-9091.00</x:v>
      </x:c>
      <x:c r="C37" s="12" t="str">
        <x:v>Dental Assistants</x:v>
      </x:c>
      <x:c r="D37" s="12" t="str">
        <x:v>6/6</x:v>
      </x:c>
      <x:c r="E37" s="12" t="str">
        <x:v>Include</x:v>
      </x:c>
      <x:c r="F37" s="12" t="str">
        <x:v>ONET candidates!A181</x:v>
      </x:c>
      <x:c r="G37" s="12" t="str">
        <x:v>Remaining health occupations</x:v>
      </x:c>
      <x:c r="H37" s="12" t="str">
        <x:v>SOC31 healthcare support, outside the separately listed NSCG health groups.</x:v>
      </x:c>
      <x:c r="I37" s="12" t="str">
        <x:v>https://www.onetonline.org/link/summary/31-9091.00</x:v>
      </x:c>
    </x:row>
    <x:row r="38" ht="48" customHeight="1">
      <x:c r="A38" s="12" t="str">
        <x:v>611140</x:v>
      </x:c>
      <x:c r="B38" s="12" t="str">
        <x:v>31-9092.00</x:v>
      </x:c>
      <x:c r="C38" s="12" t="str">
        <x:v>Medical Assistants</x:v>
      </x:c>
      <x:c r="D38" s="12" t="str">
        <x:v>6/6</x:v>
      </x:c>
      <x:c r="E38" s="12" t="str">
        <x:v>Include</x:v>
      </x:c>
      <x:c r="F38" s="12" t="str">
        <x:v>ONET candidates!A182</x:v>
      </x:c>
      <x:c r="G38" s="12" t="str">
        <x:v>Remaining health occupations</x:v>
      </x:c>
      <x:c r="H38" s="12" t="str">
        <x:v>SOC31 healthcare support, outside the separately listed NSCG health groups.</x:v>
      </x:c>
      <x:c r="I38" s="12" t="str">
        <x:v>https://www.onetonline.org/link/summary/31-9092.00</x:v>
      </x:c>
    </x:row>
    <x:row r="39" ht="48" customHeight="1">
      <x:c r="A39" s="12" t="str">
        <x:v>611140</x:v>
      </x:c>
      <x:c r="B39" s="12" t="str">
        <x:v>31-9093.00</x:v>
      </x:c>
      <x:c r="C39" s="12" t="str">
        <x:v>Medical Equipment Preparers</x:v>
      </x:c>
      <x:c r="D39" s="12" t="str">
        <x:v>6/6</x:v>
      </x:c>
      <x:c r="E39" s="12" t="str">
        <x:v>Include</x:v>
      </x:c>
      <x:c r="F39" s="12" t="str">
        <x:v>ONET candidates!A183</x:v>
      </x:c>
      <x:c r="G39" s="12" t="str">
        <x:v>Remaining health occupations</x:v>
      </x:c>
      <x:c r="H39" s="12" t="str">
        <x:v>SOC31 healthcare support, outside the separately listed NSCG health groups.</x:v>
      </x:c>
      <x:c r="I39" s="12" t="str">
        <x:v>https://www.onetonline.org/link/summary/31-9093.00</x:v>
      </x:c>
    </x:row>
    <x:row r="40" ht="48" customHeight="1">
      <x:c r="A40" s="12" t="str">
        <x:v>611140</x:v>
      </x:c>
      <x:c r="B40" s="12" t="str">
        <x:v>31-9094.00</x:v>
      </x:c>
      <x:c r="C40" s="12" t="str">
        <x:v>Medical Transcriptionists</x:v>
      </x:c>
      <x:c r="D40" s="12" t="str">
        <x:v>6/6</x:v>
      </x:c>
      <x:c r="E40" s="12" t="str">
        <x:v>Include</x:v>
      </x:c>
      <x:c r="F40" s="12" t="str">
        <x:v>ONET candidates!A184</x:v>
      </x:c>
      <x:c r="G40" s="12" t="str">
        <x:v>Remaining health occupations</x:v>
      </x:c>
      <x:c r="H40" s="12" t="str">
        <x:v>SOC31 healthcare support, outside the separately listed NSCG health groups.</x:v>
      </x:c>
      <x:c r="I40" s="12" t="str">
        <x:v>https://www.onetonline.org/link/summary/31-9094.00</x:v>
      </x:c>
    </x:row>
    <x:row r="41" ht="48" customHeight="1">
      <x:c r="A41" s="12" t="str">
        <x:v>611140</x:v>
      </x:c>
      <x:c r="B41" s="12" t="str">
        <x:v>31-9095.00</x:v>
      </x:c>
      <x:c r="C41" s="12" t="str">
        <x:v>Pharmacy Aides</x:v>
      </x:c>
      <x:c r="D41" s="12" t="str">
        <x:v>6/6</x:v>
      </x:c>
      <x:c r="E41" s="12" t="str">
        <x:v>Include</x:v>
      </x:c>
      <x:c r="F41" s="12" t="str">
        <x:v>ONET candidates!A185</x:v>
      </x:c>
      <x:c r="G41" s="12" t="str">
        <x:v>Remaining health occupations</x:v>
      </x:c>
      <x:c r="H41" s="12" t="str">
        <x:v>SOC31 healthcare support, outside the separately listed NSCG health groups.</x:v>
      </x:c>
      <x:c r="I41" s="12" t="str">
        <x:v>https://www.onetonline.org/link/summary/31-9095.00</x:v>
      </x:c>
    </x:row>
    <x:row r="42" ht="48" customHeight="1">
      <x:c r="A42" s="12" t="str">
        <x:v>611140</x:v>
      </x:c>
      <x:c r="B42" s="12" t="str">
        <x:v>31-9096.00</x:v>
      </x:c>
      <x:c r="C42" s="12" t="str">
        <x:v>Veterinary Assistants and Laboratory Animal Caretakers</x:v>
      </x:c>
      <x:c r="D42" s="12" t="str">
        <x:v>6/6</x:v>
      </x:c>
      <x:c r="E42" s="12" t="str">
        <x:v>Include</x:v>
      </x:c>
      <x:c r="F42" s="12" t="str">
        <x:v>ONET candidates!A186</x:v>
      </x:c>
      <x:c r="G42" s="12" t="str">
        <x:v>Remaining health occupations</x:v>
      </x:c>
      <x:c r="H42" s="12" t="str">
        <x:v>SOC31 healthcare support, outside the separately listed NSCG health groups.</x:v>
      </x:c>
      <x:c r="I42" s="12" t="str">
        <x:v>https://www.onetonline.org/link/summary/31-9096.00</x:v>
      </x:c>
    </x:row>
    <x:row r="43" ht="48" customHeight="1">
      <x:c r="A43" s="12" t="str">
        <x:v>611140</x:v>
      </x:c>
      <x:c r="B43" s="12" t="str">
        <x:v>31-9097.00</x:v>
      </x:c>
      <x:c r="C43" s="12" t="str">
        <x:v>Phlebotomists</x:v>
      </x:c>
      <x:c r="D43" s="12" t="str">
        <x:v>6/6</x:v>
      </x:c>
      <x:c r="E43" s="12" t="str">
        <x:v>Include</x:v>
      </x:c>
      <x:c r="F43" s="12" t="str">
        <x:v>ONET candidates!A187</x:v>
      </x:c>
      <x:c r="G43" s="12" t="str">
        <x:v>Remaining health occupations</x:v>
      </x:c>
      <x:c r="H43" s="12" t="str">
        <x:v>SOC31 healthcare support, outside the separately listed NSCG health groups.</x:v>
      </x:c>
      <x:c r="I43" s="12" t="str">
        <x:v>https://www.onetonline.org/link/summary/31-9097.00</x:v>
      </x:c>
    </x:row>
    <x:row r="44" ht="48" customHeight="1">
      <x:c r="A44" s="12" t="str">
        <x:v>611140</x:v>
      </x:c>
      <x:c r="B44" s="12" t="str">
        <x:v>31-9099.00</x:v>
      </x:c>
      <x:c r="C44" s="12" t="str">
        <x:v>Healthcare Support Workers, All Other</x:v>
      </x:c>
      <x:c r="D44" s="12" t="str">
        <x:v>0/6</x:v>
      </x:c>
      <x:c r="E44" s="12" t="str">
        <x:v>Exclude (no Work Values)</x:v>
      </x:c>
      <x:c r="F44" s="12" t="str">
        <x:v>ONET candidates!A188</x:v>
      </x:c>
      <x:c r="G44" s="12" t="str">
        <x:v>Remaining health occupations</x:v>
      </x:c>
      <x:c r="H44" s="12" t="str">
        <x:v>SOC31 healthcare support; no Work Values.</x:v>
      </x:c>
      <x:c r="I44" s="12" t="str">
        <x:v>https://www.onetonline.org/link/summary/31-9099.00</x:v>
      </x:c>
    </x:row>
    <x:row r="45" ht="48" customHeight="1">
      <x:c r="A45" s="12" t="str">
        <x:v>732570</x:v>
      </x:c>
      <x:c r="B45" s="12" t="str">
        <x:v>25-3011.00</x:v>
      </x:c>
      <x:c r="C45" s="12" t="str">
        <x:v>Adult Basic Education, Adult Secondary Education, and English as a Second Language Instructors</x:v>
      </x:c>
      <x:c r="D45" s="12" t="str">
        <x:v>6/6</x:v>
      </x:c>
      <x:c r="E45" s="12" t="str">
        <x:v>Exclude (uncertain mapping)</x:v>
      </x:c>
      <x:c r="F45" s="12" t="str">
        <x:v>ONET candidates!A312</x:v>
      </x:c>
      <x:c r="G45" s="12" t="str">
        <x:v>None</x:v>
      </x:c>
      <x:c r="H45" s="12" t="str">
        <x:v>Adult basic education, GED and ESL have ratings but cannot define the full NSCG category.</x:v>
      </x:c>
      <x:c r="I45" s="12" t="str">
        <x:v>https://www.onetonline.org/link/summary/25-3011.00</x:v>
      </x:c>
    </x:row>
    <x:row r="46" ht="48" customHeight="1">
      <x:c r="A46" s="12" t="str">
        <x:v>732570</x:v>
      </x:c>
      <x:c r="B46" s="12" t="str">
        <x:v>25-3031.00</x:v>
      </x:c>
      <x:c r="C46" s="12" t="str">
        <x:v>Substitute Teachers, Short-Term</x:v>
      </x:c>
      <x:c r="D46" s="12" t="str">
        <x:v>0/6</x:v>
      </x:c>
      <x:c r="E46" s="12" t="str">
        <x:v>Exclude (uncertain mapping)</x:v>
      </x:c>
      <x:c r="F46" s="12" t="str">
        <x:v>ONET candidates!A313</x:v>
      </x:c>
      <x:c r="G46" s="12" t="str">
        <x:v>None</x:v>
      </x:c>
      <x:c r="H46" s="12" t="str">
        <x:v>NSCG does not specify whether short-term substitutes belong here; no Work Values.</x:v>
      </x:c>
      <x:c r="I46" s="12" t="str">
        <x:v>https://www.onetonline.org/link/summary/25-3031.00</x:v>
      </x:c>
    </x:row>
    <x:row r="47" ht="48" customHeight="1">
      <x:c r="A47" s="12" t="str">
        <x:v>732570</x:v>
      </x:c>
      <x:c r="B47" s="12" t="str">
        <x:v>25-3099.00</x:v>
      </x:c>
      <x:c r="C47" s="12" t="str">
        <x:v>Teachers and Instructors, All Other</x:v>
      </x:c>
      <x:c r="D47" s="12" t="str">
        <x:v>0/6</x:v>
      </x:c>
      <x:c r="E47" s="12" t="str">
        <x:v>Exclude (uncertain mapping)</x:v>
      </x:c>
      <x:c r="F47" s="12" t="str">
        <x:v>ONET candidates!A314</x:v>
      </x:c>
      <x:c r="G47" s="12" t="str">
        <x:v>None</x:v>
      </x:c>
      <x:c r="H47" s="12" t="str">
        <x:v>Other teachers are not limited to precollege education; no Work Values.</x:v>
      </x:c>
      <x:c r="I47" s="12" t="str">
        <x:v>https://www.onetonline.org/link/summary/25-3099.00</x:v>
      </x:c>
    </x:row>
    <x:row r="48" ht="48" customHeight="1">
      <x:c r="A48" s="12" t="str">
        <x:v>732570</x:v>
      </x:c>
      <x:c r="B48" s="12" t="str">
        <x:v>25-9031.00</x:v>
      </x:c>
      <x:c r="C48" s="12" t="str">
        <x:v>Instructional Coordinators</x:v>
      </x:c>
      <x:c r="D48" s="12" t="str">
        <x:v>6/6</x:v>
      </x:c>
      <x:c r="E48" s="12" t="str">
        <x:v>Exclude (outside scope)</x:v>
      </x:c>
      <x:c r="F48" s="12" t="str">
        <x:v>ONET candidates!A315</x:v>
      </x:c>
      <x:c r="G48" s="12" t="str">
        <x:v>None</x:v>
      </x:c>
      <x:c r="H48" s="12" t="str">
        <x:v>Curriculum coordination is distinct from direct teaching; available ratings do not justify inclusion.</x:v>
      </x:c>
      <x:c r="I48" s="12" t="str">
        <x:v>https://www.onetonline.org/link/summary/25-9031.00</x:v>
      </x:c>
    </x:row>
    <x:row r="49" ht="48" customHeight="1">
      <x:c r="A49" s="12" t="str">
        <x:v>732570</x:v>
      </x:c>
      <x:c r="B49" s="12" t="str">
        <x:v>25-9042.00</x:v>
      </x:c>
      <x:c r="C49" s="12" t="str">
        <x:v>Teaching Assistants, Preschool, Elementary, Middle, and Secondary School, Except Special Education</x:v>
      </x:c>
      <x:c r="D49" s="12" t="str">
        <x:v>0/6</x:v>
      </x:c>
      <x:c r="E49" s="12" t="str">
        <x:v>Exclude (outside scope)</x:v>
      </x:c>
      <x:c r="F49" s="12" t="str">
        <x:v>ONET candidates!A316</x:v>
      </x:c>
      <x:c r="G49" s="12" t="str">
        <x:v>None</x:v>
      </x:c>
      <x:c r="H49" s="12" t="str">
        <x:v>Teaching assistants support teachers; NSCG does not explicitly place them in this group.</x:v>
      </x:c>
      <x:c r="I49" s="12" t="str">
        <x:v>https://www.onetonline.org/link/summary/25-9042.00</x:v>
      </x:c>
    </x:row>
    <x:row r="50" ht="48" customHeight="1">
      <x:c r="A50" s="12" t="str">
        <x:v>732570</x:v>
      </x:c>
      <x:c r="B50" s="12" t="str">
        <x:v>25-9043.00</x:v>
      </x:c>
      <x:c r="C50" s="12" t="str">
        <x:v>Teaching Assistants, Special Education</x:v>
      </x:c>
      <x:c r="D50" s="12" t="str">
        <x:v>0/6</x:v>
      </x:c>
      <x:c r="E50" s="12" t="str">
        <x:v>Exclude (outside scope)</x:v>
      </x:c>
      <x:c r="F50" s="12" t="str">
        <x:v>ONET candidates!A317</x:v>
      </x:c>
      <x:c r="G50" s="12" t="str">
        <x:v>None</x:v>
      </x:c>
      <x:c r="H50" s="12" t="str">
        <x:v>Special-education assistants are distinct from special-education teachers.</x:v>
      </x:c>
      <x:c r="I50" s="12" t="str">
        <x:v>https://www.onetonline.org/link/summary/25-9043.00</x:v>
      </x:c>
    </x:row>
    <x:row r="51" ht="48" customHeight="1">
      <x:c r="A51" s="12" t="str">
        <x:v>783000</x:v>
      </x:c>
      <x:c r="B51" s="12" t="str">
        <x:v>25-3021.00</x:v>
      </x:c>
      <x:c r="C51" s="12" t="str">
        <x:v>Self-Enrichment Teachers</x:v>
      </x:c>
      <x:c r="D51" s="12" t="str">
        <x:v>6/6</x:v>
      </x:c>
      <x:c r="E51" s="12" t="str">
        <x:v>Include</x:v>
      </x:c>
      <x:c r="F51" s="12" t="str">
        <x:v>ONET candidates!A582</x:v>
      </x:c>
      <x:c r="G51" s="12" t="str">
        <x:v>Broader pilot and coaching profiles</x:v>
      </x:c>
      <x:c r="H51" s="12" t="str">
        <x:v>Recreational instruction, e.g. dance without a qualification, competition or fitness objective.</x:v>
      </x:c>
      <x:c r="I51" s="12" t="str">
        <x:v>https://www.onetonline.org/link/summary/25-3021.00</x:v>
      </x:c>
    </x:row>
    <x:row r="52" ht="48" customHeight="1">
      <x:c r="A52" s="12" t="str">
        <x:v>783000</x:v>
      </x:c>
      <x:c r="B52" s="12" t="str">
        <x:v>25-3041.00</x:v>
      </x:c>
      <x:c r="C52" s="12" t="str">
        <x:v>Tutors</x:v>
      </x:c>
      <x:c r="D52" s="12" t="str">
        <x:v>6/6</x:v>
      </x:c>
      <x:c r="E52" s="12" t="str">
        <x:v>Include</x:v>
      </x:c>
      <x:c r="F52" s="12" t="str">
        <x:v>ONET candidates!A583</x:v>
      </x:c>
      <x:c r="G52" s="12" t="str">
        <x:v>Broader pilot and coaching profiles</x:v>
      </x:c>
      <x:c r="H52" s="12" t="str">
        <x:v>Private academic tutoring matches the NSCG examples.</x:v>
      </x:c>
      <x:c r="I52" s="12" t="str">
        <x:v>https://www.onetonline.org/link/summary/25-3041.00</x:v>
      </x:c>
    </x:row>
    <x:row r="53" ht="48" customHeight="1">
      <x:c r="A53" s="12" t="str">
        <x:v>783000</x:v>
      </x:c>
      <x:c r="B53" s="12" t="str">
        <x:v>25-3099.00</x:v>
      </x:c>
      <x:c r="C53" s="12" t="str">
        <x:v>Teachers and Instructors, All Other</x:v>
      </x:c>
      <x:c r="D53" s="12" t="str">
        <x:v>0/6</x:v>
      </x:c>
      <x:c r="E53" s="12" t="str">
        <x:v>Exclude (no Work Values)</x:v>
      </x:c>
      <x:c r="F53" s="12" t="str">
        <x:v>ONET candidates!A584</x:v>
      </x:c>
      <x:c r="G53" s="12" t="str">
        <x:v>Broader pilot and coaching profiles</x:v>
      </x:c>
      <x:c r="H53" s="12" t="str">
        <x:v>Residual teaching occupation; no Work Values.</x:v>
      </x:c>
      <x:c r="I53" s="12" t="str">
        <x:v>https://www.onetonline.org/link/summary/25-3099.00</x:v>
      </x:c>
    </x:row>
    <x:row r="54" ht="48" customHeight="1">
      <x:c r="A54" s="12" t="str">
        <x:v>783000</x:v>
      </x:c>
      <x:c r="B54" s="12" t="str">
        <x:v>25-9021.00</x:v>
      </x:c>
      <x:c r="C54" s="12" t="str">
        <x:v>Farm and Home Management Educators</x:v>
      </x:c>
      <x:c r="D54" s="12" t="str">
        <x:v>6/6</x:v>
      </x:c>
      <x:c r="E54" s="12" t="str">
        <x:v>Include</x:v>
      </x:c>
      <x:c r="F54" s="12" t="str">
        <x:v>ONET candidates!A585</x:v>
      </x:c>
      <x:c r="G54" s="12" t="str">
        <x:v>Broader pilot and coaching profiles</x:v>
      </x:c>
      <x:c r="H54" s="12" t="str">
        <x:v>Nondegree farm/home education included in the defined teaching group.</x:v>
      </x:c>
      <x:c r="I54" s="12" t="str">
        <x:v>https://www.onetonline.org/link/summary/25-9021.00</x:v>
      </x:c>
    </x:row>
    <x:row r="55" ht="48" customHeight="1">
      <x:c r="A55" s="12" t="str">
        <x:v>783000</x:v>
      </x:c>
      <x:c r="B55" s="12" t="str">
        <x:v>25-9049.00</x:v>
      </x:c>
      <x:c r="C55" s="12" t="str">
        <x:v>Teaching Assistants, All Other</x:v>
      </x:c>
      <x:c r="D55" s="12" t="str">
        <x:v>0/6</x:v>
      </x:c>
      <x:c r="E55" s="12" t="str">
        <x:v>Exclude (outside scope)</x:v>
      </x:c>
      <x:c r="F55" s="12" t="str">
        <x:v>ONET candidates!A586</x:v>
      </x:c>
      <x:c r="G55" s="12" t="str">
        <x:v>Broader pilot and coaching profiles</x:v>
      </x:c>
      <x:c r="H55" s="12" t="str">
        <x:v>No Work Values; assignment to NSCG other teachers is also unverified.</x:v>
      </x:c>
      <x:c r="I55" s="12" t="str">
        <x:v>https://www.onetonline.org/link/summary/25-9049.00</x:v>
      </x:c>
    </x:row>
    <x:row r="56" ht="48" customHeight="1">
      <x:c r="A56" s="12" t="str">
        <x:v>783000</x:v>
      </x:c>
      <x:c r="B56" s="12" t="str">
        <x:v>25-9099.00</x:v>
      </x:c>
      <x:c r="C56" s="12" t="str">
        <x:v>Educational Instruction and Library Workers, All Other</x:v>
      </x:c>
      <x:c r="D56" s="12" t="str">
        <x:v>0/6</x:v>
      </x:c>
      <x:c r="E56" s="12" t="str">
        <x:v>Exclude (outside scope)</x:v>
      </x:c>
      <x:c r="F56" s="12" t="str">
        <x:v>ONET candidates!A587</x:v>
      </x:c>
      <x:c r="G56" s="12" t="str">
        <x:v>Broader pilot and coaching profiles</x:v>
      </x:c>
      <x:c r="H56" s="12" t="str">
        <x:v>No Work Values; the group also includes exam grading and education/library support.</x:v>
      </x:c>
      <x:c r="I56" s="12" t="str">
        <x:v>https://www.onetonline.org/link/summary/25-9099.00</x:v>
      </x:c>
    </x:row>
    <x:row r="57" ht="48" customHeight="1">
      <x:c r="A57" s="12" t="str">
        <x:v>783000</x:v>
      </x:c>
      <x:c r="B57" s="12" t="str">
        <x:v>27-2022.00</x:v>
      </x:c>
      <x:c r="C57" s="12" t="str">
        <x:v>Coaches and Scouts</x:v>
      </x:c>
      <x:c r="D57" s="12" t="str">
        <x:v>6/6</x:v>
      </x:c>
      <x:c r="E57" s="12" t="str">
        <x:v>Include</x:v>
      </x:c>
      <x:c r="F57" s="12" t="str">
        <x:v>ONET candidates!A588</x:v>
      </x:c>
      <x:c r="G57" s="12" t="str">
        <x:v>Broader pilot and coaching profiles</x:v>
      </x:c>
      <x:c r="H57" s="12" t="str">
        <x:v>Competitive sports instruction, e.g. competitive martial arts. The profile also includes scouts.</x:v>
      </x:c>
      <x:c r="I57" s="12" t="str">
        <x:v>https://www.onetonline.org/link/summary/27-2022.00</x:v>
      </x:c>
    </x:row>
    <x:row r="58" ht="48" customHeight="1">
      <x:c r="A58" s="12" t="str">
        <x:v>783000</x:v>
      </x:c>
      <x:c r="B58" s="12" t="str">
        <x:v>39-9031.00</x:v>
      </x:c>
      <x:c r="C58" s="12" t="str">
        <x:v>Exercise Trainers and Group Fitness Instructors</x:v>
      </x:c>
      <x:c r="D58" s="12" t="str">
        <x:v>6/6</x:v>
      </x:c>
      <x:c r="E58" s="12" t="str">
        <x:v>Include</x:v>
      </x:c>
      <x:c r="F58" s="12" t="str">
        <x:v>ONET candidates!A589</x:v>
      </x:c>
      <x:c r="G58" s="12" t="str">
        <x:v>Broader pilot and coaching profiles</x:v>
      </x:c>
      <x:c r="H58" s="12" t="str">
        <x:v>Fitness instruction, including fitness-focused martial arts.</x:v>
      </x:c>
      <x:c r="I58" s="12" t="str">
        <x:v>https://www.onetonline.org/link/summary/39-9031.00</x:v>
      </x:c>
    </x:row>
    <x:row r="59" ht="48" customHeight="1">
      <x:c r="A59" s="12" t="str">
        <x:v>783000</x:v>
      </x:c>
      <x:c r="B59" s="12" t="str">
        <x:v>53-2011.00</x:v>
      </x:c>
      <x:c r="C59" s="12" t="str">
        <x:v>Airline Pilots, Copilots, and Flight Engineers</x:v>
      </x:c>
      <x:c r="D59" s="12" t="str">
        <x:v>6/6</x:v>
      </x:c>
      <x:c r="E59" s="12" t="str">
        <x:v>Include</x:v>
      </x:c>
      <x:c r="F59" s="12" t="str">
        <x:v>ONET candidates!A590</x:v>
      </x:c>
      <x:c r="G59" s="12" t="str">
        <x:v>Broader pilot and coaching profiles</x:v>
      </x:c>
      <x:c r="H59" s="12" t="str">
        <x:v>SOC includes airline flight instructors; the broader pilot profile is not teaching-specific.</x:v>
      </x:c>
      <x:c r="I59" s="12" t="str">
        <x:v>https://www.onetonline.org/link/summary/53-2011.00</x:v>
      </x:c>
    </x:row>
    <x:row r="60" ht="48" customHeight="1">
      <x:c r="A60" s="12" t="str">
        <x:v>783000</x:v>
      </x:c>
      <x:c r="B60" s="12" t="str">
        <x:v>53-2012.00</x:v>
      </x:c>
      <x:c r="C60" s="12" t="str">
        <x:v>Commercial Pilots</x:v>
      </x:c>
      <x:c r="D60" s="12" t="str">
        <x:v>6/6</x:v>
      </x:c>
      <x:c r="E60" s="12" t="str">
        <x:v>Include</x:v>
      </x:c>
      <x:c r="F60" s="12" t="str">
        <x:v>ONET candidates!A591</x:v>
      </x:c>
      <x:c r="G60" s="12" t="str">
        <x:v>Broader pilot and coaching profiles</x:v>
      </x:c>
      <x:c r="H60" s="12" t="str">
        <x:v>SOC includes commercial flight instructors; the broader pilot profile is not teaching-specific.</x:v>
      </x:c>
      <x:c r="I60" s="12" t="str">
        <x:v>https://www.onetonline.org/link/summary/53-2012.00</x:v>
      </x:c>
    </x:row>
    <x:row r="61" ht="48" customHeight="1">
      <x:c r="A61" s="12" t="str">
        <x:v>785000</x:v>
      </x:c>
      <x:c r="B61" s="12" t="str">
        <x:v>—</x:v>
      </x:c>
      <x:c r="C61" s="12" t="str">
        <x:v>No identifiable O*NET candidate</x:v>
      </x:c>
      <x:c r="D61" s="12" t="str">
        <x:v>—</x:v>
      </x:c>
      <x:c r="E61" s="12" t="str">
        <x:v>Exclude (uncertain mapping)</x:v>
      </x:c>
      <x:c r="F61" s="12" t="str">
        <x:v>—</x:v>
      </x:c>
      <x:c r="G61" s="12" t="str">
        <x:v>Unspecified occupation group</x:v>
      </x:c>
      <x:c r="H61" s="12" t="str">
        <x:v>No identifiable occupation group; do not substitute an arbitrary All Other profile or an all-occupation mean.</x:v>
      </x:c>
      <x:c r="I61" s="12" t="str">
        <x:v>—</x:v>
      </x:c>
    </x:row>
  </x:sheetData>
  <x:conditionalFormatting sqref="E21:E61">
    <x:cfRule type="cellIs" dxfId="23" priority="1" operator="equal">
      <x:formula>"Exclude (uncertain mapping)"</x:formula>
    </x:cfRule>
    <x:cfRule type="cellIs" dxfId="24" priority="2" operator="equal">
      <x:formula>"Exclude (outside scope)"</x:formula>
    </x:cfRule>
  </x:conditionalFormatting>
  <x:pageMargins left="0.7" right="0.7" top="0.75" bottom="0.75" header="0.3" footer="0.3"/>
  <x:tableParts count="2">
    <x:tablePart xmlns:r="http://schemas.openxmlformats.org/officeDocument/2006/relationships" r:id="Rc5cc59bfa7844d27"/>
    <x:tablePart xmlns:r="http://schemas.openxmlformats.org/officeDocument/2006/relationships" r:id="Rc4d66e1fc3cb4548"/>
  </x:tableParts>
</x:worksheet>
</file>